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Excel Meowtrix Dashboard Project\"/>
    </mc:Choice>
  </mc:AlternateContent>
  <xr:revisionPtr revIDLastSave="0" documentId="13_ncr:1_{955C6C37-C479-41A6-A455-4E30144670BC}" xr6:coauthVersionLast="47" xr6:coauthVersionMax="47" xr10:uidLastSave="{00000000-0000-0000-0000-000000000000}"/>
  <bookViews>
    <workbookView xWindow="-120" yWindow="-120" windowWidth="29040" windowHeight="15720" activeTab="1" xr2:uid="{21E7BB42-D1C4-4D2B-BA36-1E88ED5B681B}"/>
  </bookViews>
  <sheets>
    <sheet name="Bulgular" sheetId="9" r:id="rId1"/>
    <sheet name="Dashboard" sheetId="6" r:id="rId2"/>
    <sheet name="Analiz" sheetId="8" r:id="rId3"/>
    <sheet name="İçerik" sheetId="5" r:id="rId4"/>
    <sheet name="Kanal_Günlük" sheetId="7" r:id="rId5"/>
    <sheet name="Turler" sheetId="1" r:id="rId6"/>
    <sheet name="Konum_Verileri" sheetId="3" r:id="rId7"/>
    <sheet name="Trafik_Kaynagi" sheetId="2" r:id="rId8"/>
  </sheets>
  <definedNames>
    <definedName name="DışVeri_1" localSheetId="4" hidden="1">Kanal_Günlük!$A$1:$I$434</definedName>
    <definedName name="DışVeri_1" localSheetId="7" hidden="1">Trafik_Kaynagi!$A$1:$F$16</definedName>
    <definedName name="DışVeri_2" localSheetId="6" hidden="1">Konum_Verileri!$A$1:$D$201</definedName>
    <definedName name="DışVeri_3" localSheetId="3" hidden="1">İçerik!$A$1:$S$155</definedName>
    <definedName name="Dilimleyici_Tür">#N/A</definedName>
    <definedName name="Dilimleyici_Video">#N/A</definedName>
    <definedName name="YerelZamanÇizelgesi_Tarih">#N/A</definedName>
    <definedName name="YerelZamanÇizelgesi_Videonun_yayınlanma_tarihi">#N/A</definedName>
  </definedNames>
  <calcPr calcId="191029"/>
  <pivotCaches>
    <pivotCache cacheId="11" r:id="rId9"/>
    <pivotCache cacheId="19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3"/>
        <x15:timelineCacheRef r:id="rId1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15" i="9" l="1"/>
  <c r="C15" i="9"/>
  <c r="D15" i="9"/>
  <c r="E15" i="9"/>
  <c r="F15" i="9"/>
  <c r="G15" i="9"/>
  <c r="H15" i="9" a="1"/>
  <c r="I15" i="9"/>
  <c r="J15" i="9"/>
  <c r="B16" i="9"/>
  <c r="C16" i="9"/>
  <c r="D16" i="9"/>
  <c r="E16" i="9"/>
  <c r="F16" i="9"/>
  <c r="G16" i="9"/>
  <c r="H16" i="9" a="1"/>
  <c r="I16" i="9"/>
  <c r="J16" i="9"/>
  <c r="B17" i="9"/>
  <c r="C17" i="9"/>
  <c r="D17" i="9"/>
  <c r="E17" i="9"/>
  <c r="F17" i="9"/>
  <c r="G17" i="9"/>
  <c r="H17" i="9" a="1"/>
  <c r="I17" i="9"/>
  <c r="J17" i="9"/>
  <c r="B18" i="9"/>
  <c r="C18" i="9"/>
  <c r="D18" i="9"/>
  <c r="E18" i="9"/>
  <c r="F18" i="9"/>
  <c r="G18" i="9"/>
  <c r="H18" i="9" a="1"/>
  <c r="I18" i="9"/>
  <c r="J18" i="9"/>
  <c r="B19" i="9"/>
  <c r="C19" i="9"/>
  <c r="D19" i="9"/>
  <c r="E19" i="9"/>
  <c r="F19" i="9"/>
  <c r="G19" i="9"/>
  <c r="H19" i="9" a="1"/>
  <c r="I19" i="9"/>
  <c r="J19" i="9"/>
  <c r="B20" i="9"/>
  <c r="C20" i="9"/>
  <c r="D20" i="9"/>
  <c r="E20" i="9"/>
  <c r="F20" i="9"/>
  <c r="G20" i="9"/>
  <c r="H20" i="9" a="1"/>
  <c r="I20" i="9"/>
  <c r="J20" i="9"/>
  <c r="D14" i="9"/>
  <c r="E14" i="9"/>
  <c r="F14" i="9"/>
  <c r="G14" i="9"/>
  <c r="J14" i="9"/>
  <c r="I14" i="9"/>
  <c r="H14" i="9" a="1"/>
  <c r="C14" i="9"/>
  <c r="B14" i="9"/>
  <c r="H10" i="9"/>
  <c r="G10" i="9"/>
  <c r="F10" i="9"/>
  <c r="E10" i="9"/>
  <c r="D10" i="9"/>
  <c r="C10" i="9"/>
  <c r="B10" i="9"/>
  <c r="D6" i="9"/>
  <c r="D7" i="9"/>
  <c r="D8" i="9"/>
  <c r="D9" i="9"/>
  <c r="D5" i="9"/>
  <c r="B6" i="9"/>
  <c r="C6" i="9" a="1"/>
  <c r="E6" i="9"/>
  <c r="F6" i="9" s="1"/>
  <c r="G6" i="9" a="1"/>
  <c r="H6" i="9"/>
  <c r="B7" i="9"/>
  <c r="C7" i="9" a="1"/>
  <c r="E7" i="9"/>
  <c r="F7" i="9" s="1"/>
  <c r="G7" i="9" a="1"/>
  <c r="H7" i="9"/>
  <c r="B8" i="9"/>
  <c r="C8" i="9" a="1"/>
  <c r="E8" i="9"/>
  <c r="F8" i="9" s="1"/>
  <c r="G8" i="9" a="1"/>
  <c r="H8" i="9"/>
  <c r="B9" i="9"/>
  <c r="F9" i="9" s="1"/>
  <c r="C9" i="9" a="1"/>
  <c r="E9" i="9"/>
  <c r="G9" i="9" a="1"/>
  <c r="H9" i="9"/>
  <c r="H5" i="9"/>
  <c r="G5" i="9" a="1"/>
  <c r="F5" i="9"/>
  <c r="E5" i="9"/>
  <c r="C5" i="9" a="1"/>
  <c r="B5" i="9"/>
  <c r="D31" i="8"/>
  <c r="E31" i="8" s="1"/>
  <c r="F31" i="8" s="1"/>
  <c r="D32" i="8"/>
  <c r="E32" i="8" s="1"/>
  <c r="F32" i="8" s="1"/>
  <c r="D33" i="8"/>
  <c r="E33" i="8" s="1"/>
  <c r="F33" i="8" s="1"/>
  <c r="D34" i="8"/>
  <c r="E34" i="8" s="1"/>
  <c r="F34" i="8" s="1"/>
  <c r="D35" i="8"/>
  <c r="E35" i="8" s="1"/>
  <c r="F35" i="8" s="1"/>
  <c r="B31" i="8"/>
  <c r="B33" i="8"/>
  <c r="B34" i="8"/>
  <c r="B35" i="8"/>
  <c r="B36" i="8"/>
  <c r="B32" i="8"/>
  <c r="C33" i="8" l="1"/>
  <c r="C34" i="8"/>
  <c r="C35" i="8"/>
  <c r="C36" i="8"/>
  <c r="C32" i="8"/>
  <c r="D39" i="8"/>
  <c r="A40" i="8" a="1"/>
  <c r="C46" i="8" l="1"/>
  <c r="C49" i="8"/>
  <c r="C42" i="8"/>
  <c r="C45" i="8"/>
  <c r="C48" i="8"/>
  <c r="C40" i="8"/>
  <c r="C47" i="8"/>
  <c r="C41" i="8"/>
  <c r="C43" i="8"/>
  <c r="C44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3852D7-368C-4119-97F6-196990AFC8BE}" keepAlive="1" name="Sorgu - İçerik" description="Çalışma kitabındaki 'İçerik' sorgusuna yönelik bağlantı." type="5" refreshedVersion="8" background="1" saveData="1">
    <dbPr connection="Provider=Microsoft.Mashup.OleDb.1;Data Source=$Workbook$;Location=İçerik;Extended Properties=&quot;&quot;" command="SELECT * FROM [İçerik]"/>
  </connection>
  <connection id="2" xr16:uid="{1CF4CC1C-93B9-407A-B293-ED319323BAE1}" keepAlive="1" name="Sorgu - Kanal_Günlük" description="Çalışma kitabındaki 'Kanal_Günlük' sorgusuna yönelik bağlantı." type="5" refreshedVersion="8" background="1" saveData="1">
    <dbPr connection="Provider=Microsoft.Mashup.OleDb.1;Data Source=$Workbook$;Location=Kanal_Günlük;Extended Properties=&quot;&quot;" command="SELECT * FROM [Kanal_Günlük]"/>
  </connection>
  <connection id="3" xr16:uid="{85F85ED6-C215-443D-AEF2-0D553C87C81B}" keepAlive="1" name="Sorgu - Konum_Verileri" description="Çalışma kitabındaki 'Konum_Verileri' sorgusuna yönelik bağlantı." type="5" refreshedVersion="8" background="1" saveData="1">
    <dbPr connection="Provider=Microsoft.Mashup.OleDb.1;Data Source=$Workbook$;Location=Konum_Verileri;Extended Properties=&quot;&quot;" command="SELECT * FROM [Konum_Verileri]"/>
  </connection>
  <connection id="4" xr16:uid="{4FFF2E37-0456-4687-BEE7-D5BCC9C8C7DE}" keepAlive="1" name="Sorgu - Trafik_Kaynagi" description="Çalışma kitabındaki 'Trafik_Kaynagi' sorgusuna yönelik bağlantı." type="5" refreshedVersion="8" background="1" saveData="1">
    <dbPr connection="Provider=Microsoft.Mashup.OleDb.1;Data Source=$Workbook$;Location=Trafik_Kaynagi;Extended Properties=&quot;&quot;" command="SELECT * FROM [Trafik_Kaynagi]"/>
  </connection>
  <connection id="5" xr16:uid="{A0181138-3F7A-4D89-914D-1E1DFF1DCEA1}" keepAlive="1" name="Sorgu - Turler" description="Çalışma kitabındaki 'Turler' sorgusuna yönelik bağlantı." type="5" refreshedVersion="0" background="1">
    <dbPr connection="Provider=Microsoft.Mashup.OleDb.1;Data Source=$Workbook$;Location=Turler;Extended Properties=&quot;&quot;" command="SELECT * FROM [Turler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<sst xmlns="http://schemas.openxmlformats.org/spreadsheetml/2006/main" count="1586" uniqueCount="753">
  <si>
    <t>Trafik kaynağı</t>
  </si>
  <si>
    <t>Görüntüleme</t>
  </si>
  <si>
    <t>İzlenme süresi (saat)</t>
  </si>
  <si>
    <t>Küçük resim gösterimleri</t>
  </si>
  <si>
    <t>Küçük resim tıklama oranı (%)</t>
  </si>
  <si>
    <t>Shorts özet akışı</t>
  </si>
  <si>
    <t>YouTube arama</t>
  </si>
  <si>
    <t>Kanal sayfaları</t>
  </si>
  <si>
    <t>Diğer YouTube özellikleri</t>
  </si>
  <si>
    <t>Göz atma özellikleri</t>
  </si>
  <si>
    <t>Ses sayfaları</t>
  </si>
  <si>
    <t>Harici</t>
  </si>
  <si>
    <t>Benzer Shorts videoları</t>
  </si>
  <si>
    <t>Oynatma Listeleri</t>
  </si>
  <si>
    <t>Hashtag sayfaları</t>
  </si>
  <si>
    <t>Doğrudan veya bilinmeyen</t>
  </si>
  <si>
    <t>Bildirimler</t>
  </si>
  <si>
    <t>Önerilen videolar</t>
  </si>
  <si>
    <t>Remikslenmiş video</t>
  </si>
  <si>
    <t>Dikey canlı feed</t>
  </si>
  <si>
    <t>Ort. İzlenme (sn)</t>
  </si>
  <si>
    <t>Konum</t>
  </si>
  <si>
    <t>IN</t>
  </si>
  <si>
    <t>UZ</t>
  </si>
  <si>
    <t>BD</t>
  </si>
  <si>
    <t>TR</t>
  </si>
  <si>
    <t>ID</t>
  </si>
  <si>
    <t>US</t>
  </si>
  <si>
    <t>PK</t>
  </si>
  <si>
    <t>PH</t>
  </si>
  <si>
    <t>DZ</t>
  </si>
  <si>
    <t>DE</t>
  </si>
  <si>
    <t>BR</t>
  </si>
  <si>
    <t>MM</t>
  </si>
  <si>
    <t>RU</t>
  </si>
  <si>
    <t>MY</t>
  </si>
  <si>
    <t>KG</t>
  </si>
  <si>
    <t>LK</t>
  </si>
  <si>
    <t>IQ</t>
  </si>
  <si>
    <t>FR</t>
  </si>
  <si>
    <t>VN</t>
  </si>
  <si>
    <t>MX</t>
  </si>
  <si>
    <t>KZ</t>
  </si>
  <si>
    <t>IT</t>
  </si>
  <si>
    <t>SA</t>
  </si>
  <si>
    <t>TH</t>
  </si>
  <si>
    <t>EG</t>
  </si>
  <si>
    <t>MA</t>
  </si>
  <si>
    <t>AZ</t>
  </si>
  <si>
    <t>PL</t>
  </si>
  <si>
    <t>NP</t>
  </si>
  <si>
    <t>TJ</t>
  </si>
  <si>
    <t>IR</t>
  </si>
  <si>
    <t>RO</t>
  </si>
  <si>
    <t>KH</t>
  </si>
  <si>
    <t>UA</t>
  </si>
  <si>
    <t>GB</t>
  </si>
  <si>
    <t>SY</t>
  </si>
  <si>
    <t>AR</t>
  </si>
  <si>
    <t>ES</t>
  </si>
  <si>
    <t>NL</t>
  </si>
  <si>
    <t>AE</t>
  </si>
  <si>
    <t>CA</t>
  </si>
  <si>
    <t>CZ</t>
  </si>
  <si>
    <t>GR</t>
  </si>
  <si>
    <t>TN</t>
  </si>
  <si>
    <t>CO</t>
  </si>
  <si>
    <t>BG</t>
  </si>
  <si>
    <t>ZA</t>
  </si>
  <si>
    <t>HU</t>
  </si>
  <si>
    <t>KE</t>
  </si>
  <si>
    <t>PE</t>
  </si>
  <si>
    <t>ET</t>
  </si>
  <si>
    <t>JP</t>
  </si>
  <si>
    <t>MN</t>
  </si>
  <si>
    <t>IL</t>
  </si>
  <si>
    <t>AF</t>
  </si>
  <si>
    <t>JO</t>
  </si>
  <si>
    <t>RS</t>
  </si>
  <si>
    <t>OM</t>
  </si>
  <si>
    <t>VE</t>
  </si>
  <si>
    <t>AT</t>
  </si>
  <si>
    <t>GE</t>
  </si>
  <si>
    <t>SK</t>
  </si>
  <si>
    <t>NG</t>
  </si>
  <si>
    <t>AM</t>
  </si>
  <si>
    <t>SO</t>
  </si>
  <si>
    <t>AU</t>
  </si>
  <si>
    <t>BE</t>
  </si>
  <si>
    <t>AL</t>
  </si>
  <si>
    <t>FI</t>
  </si>
  <si>
    <t>SE</t>
  </si>
  <si>
    <t>KR</t>
  </si>
  <si>
    <t>BY</t>
  </si>
  <si>
    <t>CH</t>
  </si>
  <si>
    <t>CL</t>
  </si>
  <si>
    <t>LB</t>
  </si>
  <si>
    <t>EC</t>
  </si>
  <si>
    <t>NO</t>
  </si>
  <si>
    <t>BO</t>
  </si>
  <si>
    <t>LY</t>
  </si>
  <si>
    <t>HR</t>
  </si>
  <si>
    <t>KW</t>
  </si>
  <si>
    <t>SG</t>
  </si>
  <si>
    <t>SN</t>
  </si>
  <si>
    <t>LA</t>
  </si>
  <si>
    <t>QA</t>
  </si>
  <si>
    <t>BA</t>
  </si>
  <si>
    <t>YE</t>
  </si>
  <si>
    <t>PY</t>
  </si>
  <si>
    <t>GT</t>
  </si>
  <si>
    <t>PT</t>
  </si>
  <si>
    <t>TZ</t>
  </si>
  <si>
    <t>MD</t>
  </si>
  <si>
    <t>CI</t>
  </si>
  <si>
    <t>DO</t>
  </si>
  <si>
    <t>LT</t>
  </si>
  <si>
    <t>TW</t>
  </si>
  <si>
    <t>HN</t>
  </si>
  <si>
    <t>DK</t>
  </si>
  <si>
    <t>PS</t>
  </si>
  <si>
    <t>LV</t>
  </si>
  <si>
    <t>SV</t>
  </si>
  <si>
    <t>SI</t>
  </si>
  <si>
    <t>MK</t>
  </si>
  <si>
    <t>CY</t>
  </si>
  <si>
    <t>GH</t>
  </si>
  <si>
    <t>RW</t>
  </si>
  <si>
    <t>CU</t>
  </si>
  <si>
    <t>GA</t>
  </si>
  <si>
    <t>HK</t>
  </si>
  <si>
    <t>BH</t>
  </si>
  <si>
    <t>CR</t>
  </si>
  <si>
    <t>UG</t>
  </si>
  <si>
    <t>CD</t>
  </si>
  <si>
    <t>MU</t>
  </si>
  <si>
    <t>IE</t>
  </si>
  <si>
    <t>EE</t>
  </si>
  <si>
    <t>NI</t>
  </si>
  <si>
    <t>PA</t>
  </si>
  <si>
    <t>BF</t>
  </si>
  <si>
    <t>TM</t>
  </si>
  <si>
    <t>HT</t>
  </si>
  <si>
    <t>NZ</t>
  </si>
  <si>
    <t>ML</t>
  </si>
  <si>
    <t>CG</t>
  </si>
  <si>
    <t>TG</t>
  </si>
  <si>
    <t>ME</t>
  </si>
  <si>
    <t>UY</t>
  </si>
  <si>
    <t>CM</t>
  </si>
  <si>
    <t>ZM</t>
  </si>
  <si>
    <t>BN</t>
  </si>
  <si>
    <t>MZ</t>
  </si>
  <si>
    <t>MG</t>
  </si>
  <si>
    <t>MV</t>
  </si>
  <si>
    <t>DJ</t>
  </si>
  <si>
    <t>PR</t>
  </si>
  <si>
    <t>FJ</t>
  </si>
  <si>
    <t>AO</t>
  </si>
  <si>
    <t>BT</t>
  </si>
  <si>
    <t>MR</t>
  </si>
  <si>
    <t>SD</t>
  </si>
  <si>
    <t>JM</t>
  </si>
  <si>
    <t>TT</t>
  </si>
  <si>
    <t>RE</t>
  </si>
  <si>
    <t>NA</t>
  </si>
  <si>
    <t>BW</t>
  </si>
  <si>
    <t>MW</t>
  </si>
  <si>
    <t>GY</t>
  </si>
  <si>
    <t>SR</t>
  </si>
  <si>
    <t>TL</t>
  </si>
  <si>
    <t>BJ</t>
  </si>
  <si>
    <t>EH</t>
  </si>
  <si>
    <t>PG</t>
  </si>
  <si>
    <t>ZW</t>
  </si>
  <si>
    <t>NE</t>
  </si>
  <si>
    <t>LU</t>
  </si>
  <si>
    <t>SL</t>
  </si>
  <si>
    <t>MQ</t>
  </si>
  <si>
    <t>MT</t>
  </si>
  <si>
    <t>GP</t>
  </si>
  <si>
    <t>SS</t>
  </si>
  <si>
    <t>BZ</t>
  </si>
  <si>
    <t>GN</t>
  </si>
  <si>
    <t>CN</t>
  </si>
  <si>
    <t>GM</t>
  </si>
  <si>
    <t>GF</t>
  </si>
  <si>
    <t>CV</t>
  </si>
  <si>
    <t>PF</t>
  </si>
  <si>
    <t>NC</t>
  </si>
  <si>
    <t>TD</t>
  </si>
  <si>
    <t>WS</t>
  </si>
  <si>
    <t>BI</t>
  </si>
  <si>
    <t>YT</t>
  </si>
  <si>
    <t>IS</t>
  </si>
  <si>
    <t>SB</t>
  </si>
  <si>
    <t>SZ</t>
  </si>
  <si>
    <t>SC</t>
  </si>
  <si>
    <t>LR</t>
  </si>
  <si>
    <t>BS</t>
  </si>
  <si>
    <t>BB</t>
  </si>
  <si>
    <t>MO</t>
  </si>
  <si>
    <t>VU</t>
  </si>
  <si>
    <t>GQ</t>
  </si>
  <si>
    <t>GU</t>
  </si>
  <si>
    <t>LS</t>
  </si>
  <si>
    <t>GL</t>
  </si>
  <si>
    <t>TO</t>
  </si>
  <si>
    <t>FM</t>
  </si>
  <si>
    <t>KI</t>
  </si>
  <si>
    <t>LC</t>
  </si>
  <si>
    <t>KM</t>
  </si>
  <si>
    <t>GD</t>
  </si>
  <si>
    <t>VC</t>
  </si>
  <si>
    <t>AW</t>
  </si>
  <si>
    <t>DM</t>
  </si>
  <si>
    <t>CW</t>
  </si>
  <si>
    <t>MH</t>
  </si>
  <si>
    <t>AS</t>
  </si>
  <si>
    <t>GW</t>
  </si>
  <si>
    <t>PW</t>
  </si>
  <si>
    <t>AD</t>
  </si>
  <si>
    <t>Tarih</t>
  </si>
  <si>
    <t>Video-ID</t>
  </si>
  <si>
    <t>Video başlığı</t>
  </si>
  <si>
    <t>Videonun yayınlanma tarihi</t>
  </si>
  <si>
    <t>Video süresi (sn)</t>
  </si>
  <si>
    <t>Paylaşım</t>
  </si>
  <si>
    <t>Eklenen yorum sayısı</t>
  </si>
  <si>
    <t>Beğenenler</t>
  </si>
  <si>
    <t>Ortalama görüntüleme yüzdesi (%)</t>
  </si>
  <si>
    <t>Aboneler</t>
  </si>
  <si>
    <t>Tahmini gelir (USD)</t>
  </si>
  <si>
    <t>IJTvBWDo8wM</t>
  </si>
  <si>
    <t>Girl vs Boy Cats!</t>
  </si>
  <si>
    <t>Ph_wM1NPOOw</t>
  </si>
  <si>
    <t>Ranking Veterinarian Cat Moments!</t>
  </si>
  <si>
    <t>SL1-DofkBjU</t>
  </si>
  <si>
    <t>Snake speed vs Cat Speed!!</t>
  </si>
  <si>
    <t>Z9k0YXNhUVM</t>
  </si>
  <si>
    <t>Cats Cant Drift!</t>
  </si>
  <si>
    <t>GrkcrbtJqAk</t>
  </si>
  <si>
    <t>Ranking Cats Being Powerless!</t>
  </si>
  <si>
    <t>0j8tzOJYQoY</t>
  </si>
  <si>
    <t>Ranking Best Cat WWE Moments!</t>
  </si>
  <si>
    <t>72L_plNemfk</t>
  </si>
  <si>
    <t>Eagle Hunting vs Cat Hunting!</t>
  </si>
  <si>
    <t>7WewignQjSs</t>
  </si>
  <si>
    <t>Ranking Catnip Cat Moments!</t>
  </si>
  <si>
    <t xml:space="preserve"> -I-lS31j2hM</t>
  </si>
  <si>
    <t>Cats Camouflage vs Other Animal Camouflage!</t>
  </si>
  <si>
    <t>IOQunyjOgmw</t>
  </si>
  <si>
    <t>Ranking Cat Cosplay Moments!</t>
  </si>
  <si>
    <t xml:space="preserve"> -H1_kVI9tcA</t>
  </si>
  <si>
    <t>Cats Are Not Angry, They Are Just Cute!</t>
  </si>
  <si>
    <t>TPhSNqRl6H8</t>
  </si>
  <si>
    <t>Cats Cant Dance!</t>
  </si>
  <si>
    <t>pHzXfrJNYEQ</t>
  </si>
  <si>
    <t>Feel Like A Monster! #skillet #catedit</t>
  </si>
  <si>
    <t>rjRHg0ZDN8A</t>
  </si>
  <si>
    <t>Ranking Cute Kitten Moments!</t>
  </si>
  <si>
    <t>jeSOJ-fcaKg</t>
  </si>
  <si>
    <t>Coyote vs Cat!</t>
  </si>
  <si>
    <t>jbSf_GHTuy0</t>
  </si>
  <si>
    <t>Ranking Catnip Moments!</t>
  </si>
  <si>
    <t>cNGsfZFa_Ns</t>
  </si>
  <si>
    <t>Cats Are Afraid Of All Animals!</t>
  </si>
  <si>
    <t>0BtqPmOuKzA</t>
  </si>
  <si>
    <t>Ranking Cats on Catnip Moments!</t>
  </si>
  <si>
    <t>g28ZacnFMnI</t>
  </si>
  <si>
    <t>Ranking Weird Sleeping Cat Moments!</t>
  </si>
  <si>
    <t>S-4yqFa9mLg</t>
  </si>
  <si>
    <t>Cats Are The Worst Pets!</t>
  </si>
  <si>
    <t>RHB3_6j_0ik</t>
  </si>
  <si>
    <t>Cats vs Rabbits!</t>
  </si>
  <si>
    <t>hBr0mHsdwkw</t>
  </si>
  <si>
    <t>Cats Are Useless!</t>
  </si>
  <si>
    <t>uqt5wNtLdmE</t>
  </si>
  <si>
    <t>Cats Are So Random!</t>
  </si>
  <si>
    <t>C7tdidtom_g</t>
  </si>
  <si>
    <t>Cat is Not Afraid Of Horse!</t>
  </si>
  <si>
    <t>WV_q1c0YYtE</t>
  </si>
  <si>
    <t>Cats Are Not Dramatic!</t>
  </si>
  <si>
    <t>kS5xY_D0-u0</t>
  </si>
  <si>
    <t>Cats Of Different Nationalities!</t>
  </si>
  <si>
    <t>mmt-7tploF8</t>
  </si>
  <si>
    <t>Other Animals vs Cat Parkour!</t>
  </si>
  <si>
    <t>L5SSPp7af1s</t>
  </si>
  <si>
    <t>Ranking Cat Snapchat Filter Moments!</t>
  </si>
  <si>
    <t>EbzA08T8YNg</t>
  </si>
  <si>
    <t>Cats Are Not Scary!</t>
  </si>
  <si>
    <t xml:space="preserve"> -DYFKMHIPls</t>
  </si>
  <si>
    <t>l0AUkt3wmLc</t>
  </si>
  <si>
    <t>qyPD9edmwJ4</t>
  </si>
  <si>
    <t>Ranking Cat WWE Moments 2!</t>
  </si>
  <si>
    <t>DVVLmNaDDnc</t>
  </si>
  <si>
    <t>Cats Are Not Fighters?</t>
  </si>
  <si>
    <t>cAE6Htz1Mpg</t>
  </si>
  <si>
    <t>Cats Are Not Protective!</t>
  </si>
  <si>
    <t>zbUbpg4eBaM</t>
  </si>
  <si>
    <t>Cats Are Not Synchronized!</t>
  </si>
  <si>
    <t>v1ZD8lg1tIw</t>
  </si>
  <si>
    <t>Cats Are Not Beautiful!</t>
  </si>
  <si>
    <t>a4oRR-ZDB9Q</t>
  </si>
  <si>
    <t>Ranking Cats Being Powerless Moments!</t>
  </si>
  <si>
    <t>L4a3lciDMio</t>
  </si>
  <si>
    <t>Ranking Watermelon Hat Cats!</t>
  </si>
  <si>
    <t>bzfz4Kto7zM</t>
  </si>
  <si>
    <t>Cats LOVE Food!</t>
  </si>
  <si>
    <t>uhp1bJUBdx0</t>
  </si>
  <si>
    <t>Cats Can't Act!</t>
  </si>
  <si>
    <t>BPy5anQ35nQ</t>
  </si>
  <si>
    <t>Cats Are Hearthless!</t>
  </si>
  <si>
    <t>5-X52RvDZnM</t>
  </si>
  <si>
    <t>Ranking Dumbest Cat Moments!</t>
  </si>
  <si>
    <t>yMJVov3BH8k</t>
  </si>
  <si>
    <t>Ranking Useful Cat Moments 2</t>
  </si>
  <si>
    <t>LlYehkptpE0</t>
  </si>
  <si>
    <t>Orange Cats Are Boring!</t>
  </si>
  <si>
    <t>5HiU0KWEO8I</t>
  </si>
  <si>
    <t>Ranking Catnip Moments 2</t>
  </si>
  <si>
    <t>cZw5jFdYVzY</t>
  </si>
  <si>
    <t>Ranking Black Cat Moments!</t>
  </si>
  <si>
    <t>t287eivRvKE</t>
  </si>
  <si>
    <t>Ranking Cats Using Snapchat Filter Moments 2!</t>
  </si>
  <si>
    <t>WnAuqS-0MVI</t>
  </si>
  <si>
    <t>Ranking Orance Cat Moments!</t>
  </si>
  <si>
    <t>In2GomQtRu4</t>
  </si>
  <si>
    <t>Cats Are Cowards!</t>
  </si>
  <si>
    <t>JgIThiGJ-5I</t>
  </si>
  <si>
    <t>Ranking Black Cat Moments!!</t>
  </si>
  <si>
    <t>eCu_6mV8cWA</t>
  </si>
  <si>
    <t>Ranking Weirdest Sleeping Cat Momentsss!</t>
  </si>
  <si>
    <t>2wVF-GbH0Go</t>
  </si>
  <si>
    <t>Ranking Veterenarian Cat Moments!!!!!</t>
  </si>
  <si>
    <t>cYpR-xwUMGQ</t>
  </si>
  <si>
    <t>Ranking Cats vs Magic Videos!</t>
  </si>
  <si>
    <t>VHnqKNb6d6Q</t>
  </si>
  <si>
    <t>Cats Are Weak!</t>
  </si>
  <si>
    <t>2ZffeMpkX_0</t>
  </si>
  <si>
    <t>Cats Have Bad Reflexes!</t>
  </si>
  <si>
    <t>t0qAq2tkW9k</t>
  </si>
  <si>
    <t>Ranking Scared Cat Moments!</t>
  </si>
  <si>
    <t>TUksfdJiJ3U</t>
  </si>
  <si>
    <t>Escape Master Cat!</t>
  </si>
  <si>
    <t>8OP4oV0HSsk</t>
  </si>
  <si>
    <t>Ranking Cats Reacting to Magic!</t>
  </si>
  <si>
    <t>kV9F4MAvAXA</t>
  </si>
  <si>
    <t>Cat vs Dog, Obstacle Challenge!!</t>
  </si>
  <si>
    <t>XxQaXGCUwhk</t>
  </si>
  <si>
    <t>Cats Cant TALK?</t>
  </si>
  <si>
    <t>OW5Cp0j30Bg</t>
  </si>
  <si>
    <t>Cats Cant Play CATCH!</t>
  </si>
  <si>
    <t>OnFRSigBiW4</t>
  </si>
  <si>
    <t>Ranking Orange Cat Moments 3</t>
  </si>
  <si>
    <t>_jeC6GX_rAo</t>
  </si>
  <si>
    <t>Cat's Can't Be Evil!</t>
  </si>
  <si>
    <t>8oCcBkGnKzE</t>
  </si>
  <si>
    <t>Rankijg Musical Ai Cat Moments 2!</t>
  </si>
  <si>
    <t>TSvXyhDCtxc</t>
  </si>
  <si>
    <t>Cats Are Not Fun?</t>
  </si>
  <si>
    <t>QoEEunK80EA</t>
  </si>
  <si>
    <t>Cats Make No Sense!</t>
  </si>
  <si>
    <t>3YxkpQMBg9M</t>
  </si>
  <si>
    <t>Cats Are The Best Hunters!</t>
  </si>
  <si>
    <t>QjoL_RvVMCQ</t>
  </si>
  <si>
    <t>Cats Reacting To Magic!</t>
  </si>
  <si>
    <t>fubiJKd9hI0</t>
  </si>
  <si>
    <t>MFVAw3mp0jE</t>
  </si>
  <si>
    <t>Ranking Cats Playing Billard!</t>
  </si>
  <si>
    <t>iIY6LgHk_fk</t>
  </si>
  <si>
    <t>Ranking Ai Musical Cat Moments!</t>
  </si>
  <si>
    <t>L_RitHkX1s4</t>
  </si>
  <si>
    <t>Cats React to Smelly Socks!</t>
  </si>
  <si>
    <t>qwklTOhH-sc</t>
  </si>
  <si>
    <t>DRcXa0VwHOU</t>
  </si>
  <si>
    <t>Cat vs Drone!</t>
  </si>
  <si>
    <t>sxs7x1-z5JA</t>
  </si>
  <si>
    <t>Ranking Goofiest Cat Moments!</t>
  </si>
  <si>
    <t>noeHns8opn0</t>
  </si>
  <si>
    <t>Ranking Veterinerian Cat Moments! 2</t>
  </si>
  <si>
    <t>rP1MgkHo-Mk</t>
  </si>
  <si>
    <t>ENU_qf8R_kg</t>
  </si>
  <si>
    <t>Cats Break Everything!</t>
  </si>
  <si>
    <t>Ci-NzTDw_vQ</t>
  </si>
  <si>
    <t>Cats vs Dogs!</t>
  </si>
  <si>
    <t>WNQKxyQWLIM</t>
  </si>
  <si>
    <t>Cats Are Not Afraid Of Lions!</t>
  </si>
  <si>
    <t>Tp0JlwnD_nY</t>
  </si>
  <si>
    <t>Cats Cant Use Snapchat Filters</t>
  </si>
  <si>
    <t>W5GQ-hiRbwo</t>
  </si>
  <si>
    <t>Cats vs Dogs Final Battle!</t>
  </si>
  <si>
    <t>XkbBPLaZSuA</t>
  </si>
  <si>
    <t>Lion Attacks Everyone but Cat?</t>
  </si>
  <si>
    <t>hBAuaN7K1No</t>
  </si>
  <si>
    <t>Ranking Snapchat Effect On Cats!</t>
  </si>
  <si>
    <t>fxHD-cH8w3o</t>
  </si>
  <si>
    <t>Cats Can't Wear Halloween Costumes!</t>
  </si>
  <si>
    <t>aMVY9i95zCc</t>
  </si>
  <si>
    <t>Ranking Cats Playing Pool Moments!</t>
  </si>
  <si>
    <t>gLhAjfd4l_0</t>
  </si>
  <si>
    <t>Dogs Are Afraid Of Rat But Cats?</t>
  </si>
  <si>
    <t>ZdczxNHcBRI</t>
  </si>
  <si>
    <t>Ranking Cat Catch Fails #1</t>
  </si>
  <si>
    <t>4l9oq2x1D9c</t>
  </si>
  <si>
    <t>Ranking Unpredictable Cat Moments!</t>
  </si>
  <si>
    <t>gxONQytMLfo</t>
  </si>
  <si>
    <t>Cats Are Not Racist!</t>
  </si>
  <si>
    <t>wrM8gGB4H7Q</t>
  </si>
  <si>
    <t>Cat Jumping vs Other Animal Jumping!</t>
  </si>
  <si>
    <t>iOig22goq0I</t>
  </si>
  <si>
    <t>Cats Cant Get High!</t>
  </si>
  <si>
    <t>hBjqc5-0O6U</t>
  </si>
  <si>
    <t>Ranking Cats Reacting Magic Moments!</t>
  </si>
  <si>
    <t>rgSNAQyl5hQ</t>
  </si>
  <si>
    <t>Cats Have No Attitude!</t>
  </si>
  <si>
    <t>tgXChMXtVnw</t>
  </si>
  <si>
    <t>Ranking Cats Knows English</t>
  </si>
  <si>
    <t>cQel62SDgZQ</t>
  </si>
  <si>
    <t>While Others Sleep… This Cat Trains!!</t>
  </si>
  <si>
    <t>cIzSELBtwUA</t>
  </si>
  <si>
    <t>Cat Dont Work Hard Because He is SMART!!</t>
  </si>
  <si>
    <t>wrL4OIvzacA</t>
  </si>
  <si>
    <t>Ranking Goofy Cat Moments 3!</t>
  </si>
  <si>
    <t>8bS2hBoTVwc</t>
  </si>
  <si>
    <t>Cats Love Vet</t>
  </si>
  <si>
    <t>G0whWnOqaLo</t>
  </si>
  <si>
    <t>Cats Love Bath!</t>
  </si>
  <si>
    <t>8sJF3bRK2yQ</t>
  </si>
  <si>
    <t>Why Are Cats So Strange Sometimes?</t>
  </si>
  <si>
    <t>sOSSzU3wsOQ</t>
  </si>
  <si>
    <t>Cats Cant Mew!</t>
  </si>
  <si>
    <t>vtsOxV3E0fQ</t>
  </si>
  <si>
    <t>Ranking Dumbest Cat Moments 2</t>
  </si>
  <si>
    <t>WdXRnprpong</t>
  </si>
  <si>
    <t>Cats Are Stupid!</t>
  </si>
  <si>
    <t>T0SQVmdsYDg</t>
  </si>
  <si>
    <t>Alligator vs Cat!</t>
  </si>
  <si>
    <t>bw5nBiul_mk</t>
  </si>
  <si>
    <t>Cats Are Dumb!</t>
  </si>
  <si>
    <t>FDUx3PiUreg</t>
  </si>
  <si>
    <t>Cats But They Get Naughtier!</t>
  </si>
  <si>
    <t>_LvhdeIhQnA</t>
  </si>
  <si>
    <t>Cats Are Friends With Rhinos!</t>
  </si>
  <si>
    <t>9BhDTgdLttg</t>
  </si>
  <si>
    <t>Dogs Attack Lonely Kitten But Mother Comes to Help!</t>
  </si>
  <si>
    <t>vJ0pCrKww94</t>
  </si>
  <si>
    <t>Cats Make Absolute Chaos!</t>
  </si>
  <si>
    <t>VR_ZxmA9JyY</t>
  </si>
  <si>
    <t>Top 5 Orange Cat Moments #2</t>
  </si>
  <si>
    <t>1PK9TiIpvqA</t>
  </si>
  <si>
    <t>Other Animals Jump vs Cats Jump!</t>
  </si>
  <si>
    <t>rHdUGmWsXg0</t>
  </si>
  <si>
    <t>The Cat Shows The Lion Who's King!!</t>
  </si>
  <si>
    <t>faczvvE3Sfk</t>
  </si>
  <si>
    <t>Cats Are Broken!</t>
  </si>
  <si>
    <t>kDq2U_z40Fs</t>
  </si>
  <si>
    <t>Dogs Parkour vs Cats Parkour</t>
  </si>
  <si>
    <t>1CnU_RvnxBw</t>
  </si>
  <si>
    <t>Cats Have No Reflexes!</t>
  </si>
  <si>
    <t>Vj6GnJ44dfY</t>
  </si>
  <si>
    <t>This Cats Can’t Stop DANCING to the Beat!</t>
  </si>
  <si>
    <t>dCbTDJ5ZusE</t>
  </si>
  <si>
    <t>Ranking Scared Cat Moments!!!!!!</t>
  </si>
  <si>
    <t>UyRRLWZpCbo</t>
  </si>
  <si>
    <t>Ranking Usefull Cat Moments!</t>
  </si>
  <si>
    <t>g0chksgAhbE</t>
  </si>
  <si>
    <t>How Cat Get A Fish!!</t>
  </si>
  <si>
    <t>OaHss42C67w</t>
  </si>
  <si>
    <t>Love Of Cats ❤️ #cats #romanticcats</t>
  </si>
  <si>
    <t>1emUbACdG1o</t>
  </si>
  <si>
    <t>Top 5 Dancing Cat Moments</t>
  </si>
  <si>
    <t>iwLKB-MY5HQ</t>
  </si>
  <si>
    <t>Cat and Her Family Rescued !</t>
  </si>
  <si>
    <t>7sHZvTHPlIg</t>
  </si>
  <si>
    <t>Top 5 Jealous Cat Moments !</t>
  </si>
  <si>
    <t>khw1vY2ipKQ</t>
  </si>
  <si>
    <t>Ranking Cats Fails Catching Their Tail Moments!</t>
  </si>
  <si>
    <t>EzmiPB8aU38</t>
  </si>
  <si>
    <t>Cat vs Other Animal Camouflage!</t>
  </si>
  <si>
    <t>81b3t0ZBTXY</t>
  </si>
  <si>
    <t>Turtle Speed vs Cat Speed!</t>
  </si>
  <si>
    <t>eGEAJL95roc</t>
  </si>
  <si>
    <t>Elephants And Cats Are Friends!</t>
  </si>
  <si>
    <t>1jXHTHAP-qs</t>
  </si>
  <si>
    <t>Squirrel Thinks He is Fast Until Cat Show Up!!</t>
  </si>
  <si>
    <t>oku2lrEfGSY</t>
  </si>
  <si>
    <t>Other Animals vs Cat on Cattle Grid!!</t>
  </si>
  <si>
    <t xml:space="preserve"> -TbiO7WzOeM</t>
  </si>
  <si>
    <t>Ranking Cats Playing Pool Moments!!!!</t>
  </si>
  <si>
    <t>OtuhLm2Pd_o</t>
  </si>
  <si>
    <t>Who is the Best Night Hunter? Owl or Cat?</t>
  </si>
  <si>
    <t>Rj3LPeR5XpE</t>
  </si>
  <si>
    <t>Ranking Cats Failing Catch Moments!</t>
  </si>
  <si>
    <t>8vBe82BdQaQ</t>
  </si>
  <si>
    <t>Cat Always Takes Revenge!</t>
  </si>
  <si>
    <t>t-Ph4QimlWQ</t>
  </si>
  <si>
    <t>Ranking Cats Understanding English Moments!</t>
  </si>
  <si>
    <t>4050wQuSE04</t>
  </si>
  <si>
    <t>You Wont Believe This!?</t>
  </si>
  <si>
    <t>aGnY9rxjjOk</t>
  </si>
  <si>
    <t>Cats Are The Best Comforters!</t>
  </si>
  <si>
    <t>tP1743YLwrQ</t>
  </si>
  <si>
    <t>Who is More Useful, Cats or Dogs?</t>
  </si>
  <si>
    <t>6BV4jAwaaD8</t>
  </si>
  <si>
    <t>Other Animals Attack Humans, But Cat???</t>
  </si>
  <si>
    <t>xwE9OPGker4</t>
  </si>
  <si>
    <t>This Baby Mother Protected Her Babies From Coyote Attack!!!</t>
  </si>
  <si>
    <t>gBv8yuUVoxk</t>
  </si>
  <si>
    <t>Cat Mother is Different!</t>
  </si>
  <si>
    <t>VdsUfJ9bTLk</t>
  </si>
  <si>
    <t>Dogs Always Attack Kittens But Not This Kitten!!!</t>
  </si>
  <si>
    <t>NNdngnJ-SoM</t>
  </si>
  <si>
    <t>Eagle Is Strong But Not Against Cat!!</t>
  </si>
  <si>
    <t>OdUmuOQgxWk</t>
  </si>
  <si>
    <t>Cat is The Best Jump Hunter!!!</t>
  </si>
  <si>
    <t>DiW3Uddpa3Q</t>
  </si>
  <si>
    <t>Big Cat Tries Hunting Gazelle!</t>
  </si>
  <si>
    <t>FUXZkspTWAA</t>
  </si>
  <si>
    <t>POV: Cat Reactions To Shower #funnycats #catshorts</t>
  </si>
  <si>
    <t>RJEfBeKIArg</t>
  </si>
  <si>
    <t>Eagle Hunt Every Animal Except Cat!!!</t>
  </si>
  <si>
    <t>YSG9yxNIF90</t>
  </si>
  <si>
    <t>Cat Shows The Leopard Who Is The King!!</t>
  </si>
  <si>
    <t>pwSiz9A0Bv4</t>
  </si>
  <si>
    <t>This Cat Will LICK You</t>
  </si>
  <si>
    <t>I5IMNfCtWzw</t>
  </si>
  <si>
    <t>Top 5 Aura Cat Moments !? #rankingcats #auracats</t>
  </si>
  <si>
    <t>Nu2DU2ovCGs</t>
  </si>
  <si>
    <t>Dogs Fail Hunting Bear But Roes Cat Fail?</t>
  </si>
  <si>
    <t>E6ihLOxaU2k</t>
  </si>
  <si>
    <t>Robot Scares All Animals But Cat??</t>
  </si>
  <si>
    <t>i4H6FS_04pU</t>
  </si>
  <si>
    <t>Chicken Gets Help From Cat Against Weasel!!!</t>
  </si>
  <si>
    <t>MXstByd9-j8</t>
  </si>
  <si>
    <t>Polite Cat vs Hangry Cat!</t>
  </si>
  <si>
    <t>Tür</t>
  </si>
  <si>
    <t>Ranking</t>
  </si>
  <si>
    <t>Diğer</t>
  </si>
  <si>
    <t>Compilation</t>
  </si>
  <si>
    <t>Skull Edit</t>
  </si>
  <si>
    <t>Votkak Edit</t>
  </si>
  <si>
    <t>Satır Etiketleri</t>
  </si>
  <si>
    <t>Genel Toplam</t>
  </si>
  <si>
    <t>Toplam Görüntüleme</t>
  </si>
  <si>
    <t>Yüzde_x_Goruntuleme</t>
  </si>
  <si>
    <t>Toplam Aboneler</t>
  </si>
  <si>
    <t>Video_Sayisi</t>
  </si>
  <si>
    <t>Video Sayısı</t>
  </si>
  <si>
    <t xml:space="preserve">Görüntüleme </t>
  </si>
  <si>
    <t>Ort. İzlenme %</t>
  </si>
  <si>
    <t>Yorum</t>
  </si>
  <si>
    <t>İzlenme (saat)</t>
  </si>
  <si>
    <t>Beğeni</t>
  </si>
  <si>
    <t>Abone</t>
  </si>
  <si>
    <t xml:space="preserve">Etkileşim Oranı </t>
  </si>
  <si>
    <t>Abone / 1000</t>
  </si>
  <si>
    <t>Video Türü</t>
  </si>
  <si>
    <t>Tür başına ort görüntüleme</t>
  </si>
  <si>
    <t>Metrik:</t>
  </si>
  <si>
    <t>KPI kartları</t>
  </si>
  <si>
    <t>Video</t>
  </si>
  <si>
    <t>Girl vs Boy Cats! (17.08.25)</t>
  </si>
  <si>
    <t>Cat and Her Family Rescued ! (23.07.25)</t>
  </si>
  <si>
    <t>Ranking Veterinarian Cat Moments! (25.11.25)</t>
  </si>
  <si>
    <t>Top 5 Jealous Cat Moments ! (24.07.25)</t>
  </si>
  <si>
    <t>Snake speed vs Cat Speed!! (31.10.25)</t>
  </si>
  <si>
    <t>Love Of Cats ❤️ #cats #romanticcats (25.07.25)</t>
  </si>
  <si>
    <t>Cats Cant Drift! (20.08.25)</t>
  </si>
  <si>
    <t>Top 5 Aura Cat Moments !? #rankingcats #auracats (26.07.25)</t>
  </si>
  <si>
    <t>Ranking Cats Being Powerless! (09.12.25)</t>
  </si>
  <si>
    <t>POV: Cat Reactions To Shower #funnycats #catshorts (27.07.25)</t>
  </si>
  <si>
    <t>Ranking Best Cat WWE Moments! (29.11.25)</t>
  </si>
  <si>
    <t>This Cat Will LICK You (28.07.25)</t>
  </si>
  <si>
    <t>Eagle Hunting vs Cat Hunting! (04.10.25)</t>
  </si>
  <si>
    <t>Top 5 Dancing Cat Moments (29.07.25)</t>
  </si>
  <si>
    <t>Ranking Catnip Cat Moments! (10.01.26)</t>
  </si>
  <si>
    <t>This Cats Can’t Stop DANCING to the Beat! (30.07.25)</t>
  </si>
  <si>
    <t>Cats Camouflage vs Other Animal Camouflage! (25.10.25)</t>
  </si>
  <si>
    <t>Cats Make Absolute Chaos! (31.07.25)</t>
  </si>
  <si>
    <t>Ranking Cat Cosplay Moments! (30.11.25)</t>
  </si>
  <si>
    <t>Why Are Cats So Strange Sometimes? (03.08.25)</t>
  </si>
  <si>
    <t>Cats Are Not Angry, They Are Just Cute! (19.08.25)</t>
  </si>
  <si>
    <t>You Wont Believe This!? (04.08.25)</t>
  </si>
  <si>
    <t>Cats Cant Dance! (02.09.25)</t>
  </si>
  <si>
    <t>Cats React to Smelly Socks! (12.08.25)</t>
  </si>
  <si>
    <t>Feel Like A Monster! #skillet #catedit (26.09.25)</t>
  </si>
  <si>
    <t>Cats Are Not Beautiful! (14.08.25)</t>
  </si>
  <si>
    <t>Ranking Cute Kitten Moments! (29.12.25)</t>
  </si>
  <si>
    <t>Cats Are Not Fighters? (16.08.25)</t>
  </si>
  <si>
    <t>Coyote vs Cat! (09.10.25)</t>
  </si>
  <si>
    <t>Ranking Catnip Moments! (02.12.25)</t>
  </si>
  <si>
    <t>Cats Of Different Nationalities! (18.08.25)</t>
  </si>
  <si>
    <t>Cats Are Afraid Of All Animals! (18.09.25)</t>
  </si>
  <si>
    <t>Ranking Cats on Catnip Moments! (31.12.25)</t>
  </si>
  <si>
    <t>Ranking Weird Sleeping Cat Moments! (27.11.25)</t>
  </si>
  <si>
    <t>Cats Have No Reflexes! (21.08.25)</t>
  </si>
  <si>
    <t>Cats Are The Worst Pets! (26.08.25)</t>
  </si>
  <si>
    <t>Cats Are Useless! (22.08.25)</t>
  </si>
  <si>
    <t>Cats vs Rabbits! (08.10.25)</t>
  </si>
  <si>
    <t>Cats Are Not Protective! (23.08.25)</t>
  </si>
  <si>
    <t>Cats Are Hearthless! (24.08.25)</t>
  </si>
  <si>
    <t>Cats Are So Random! (11.09.25)</t>
  </si>
  <si>
    <t>Cats Are Not Scary! (25.08.25)</t>
  </si>
  <si>
    <t>Cat is Not Afraid Of Horse! (14.11.25)</t>
  </si>
  <si>
    <t>Cats Are Not Dramatic! (22.09.25)</t>
  </si>
  <si>
    <t>Cats Are Not Synchronized! (27.08.25)</t>
  </si>
  <si>
    <t>Cats Are Not Racist! (28.08.25)</t>
  </si>
  <si>
    <t>Other Animals vs Cat Parkour! (10.10.25)</t>
  </si>
  <si>
    <t>Cats Are Cowards! (29.08.25)</t>
  </si>
  <si>
    <t>Ranking Cat Snapchat Filter Moments! (14.12.25)</t>
  </si>
  <si>
    <t>Orange Cats Are Boring! (30.08.25)</t>
  </si>
  <si>
    <t>Cats Cant Get High! (31.08.25)</t>
  </si>
  <si>
    <t>Ranking Cats Being Powerless! (04.01.26)</t>
  </si>
  <si>
    <t>Cats Are Weak! (01.09.25)</t>
  </si>
  <si>
    <t>Ranking Cute Kitten Moments! (26.11.25)</t>
  </si>
  <si>
    <t>Ranking Cat WWE Moments 2! (20.12.25)</t>
  </si>
  <si>
    <t>Cats Break Everything! (03.09.25)</t>
  </si>
  <si>
    <t>Cats Are Not Fun? (04.09.25)</t>
  </si>
  <si>
    <t>Cats vs Dogs! (05.09.25)</t>
  </si>
  <si>
    <t>Cats Love Vet (06.09.25)</t>
  </si>
  <si>
    <t>Cats Cant Mew! (08.09.25)</t>
  </si>
  <si>
    <t>Ranking Cats Being Powerless Moments! (13.01.26)</t>
  </si>
  <si>
    <t>Who is More Useful, Cats or Dogs? (09.09.25)</t>
  </si>
  <si>
    <t>Ranking Watermelon Hat Cats! (13.12.25)</t>
  </si>
  <si>
    <t>Cats Are Dumb! (10.09.25)</t>
  </si>
  <si>
    <t>Cats LOVE Food! (16.09.25)</t>
  </si>
  <si>
    <t>Cats Can't Act! (27.09.25)</t>
  </si>
  <si>
    <t>Cats Are Broken! (12.09.25)</t>
  </si>
  <si>
    <t>Cats Are The Best Comforters! (13.09.25)</t>
  </si>
  <si>
    <t>Ranking Dumbest Cat Moments! (22.11.25)</t>
  </si>
  <si>
    <t>Cats vs Dogs Final Battle! (14.09.25)</t>
  </si>
  <si>
    <t>Ranking Useful Cat Moments 2 (15.12.25)</t>
  </si>
  <si>
    <t>Cats Cant Use Snapchat Filters (15.09.25)</t>
  </si>
  <si>
    <t>Ranking Catnip Moments 2 (21.12.25)</t>
  </si>
  <si>
    <t>Cats But They Get Naughtier! (17.09.25)</t>
  </si>
  <si>
    <t>Ranking Black Cat Moments! (05.12.25)</t>
  </si>
  <si>
    <t>Ranking Cats Using Snapchat Filter Moments 2! (25.12.25)</t>
  </si>
  <si>
    <t>Cats Cant TALK? (19.09.25)</t>
  </si>
  <si>
    <t>Ranking Orance Cat Moments! (24.11.25)</t>
  </si>
  <si>
    <t>Cats Make No Sense! (20.09.25)</t>
  </si>
  <si>
    <t>Cats Reacting To Magic! (21.09.25)</t>
  </si>
  <si>
    <t>Ranking Black Cat Moments!! (27.12.25)</t>
  </si>
  <si>
    <t>Ranking Weirdest Sleeping Cat Momentsss! (09.01.26)</t>
  </si>
  <si>
    <t>Cats Have Bad Reflexes! (23.09.25)</t>
  </si>
  <si>
    <t>Ranking Veterenarian Cat Moments!!!!! (06.01.26)</t>
  </si>
  <si>
    <t>Cats Cant Play CATCH! (24.09.25)</t>
  </si>
  <si>
    <t>Ranking Cats vs Magic Videos! (02.01.26)</t>
  </si>
  <si>
    <t>Cats Have No Attitude! (25.09.25)</t>
  </si>
  <si>
    <t>Ranking Scared Cat Moments! (11.12.25)</t>
  </si>
  <si>
    <t>Dogs Parkour vs Cats Parkour (30.09.25)</t>
  </si>
  <si>
    <t>Escape Master Cat! (30.10.25)</t>
  </si>
  <si>
    <t>Cats Can't Wear Halloween Costumes! (01.10.25)</t>
  </si>
  <si>
    <t>Ranking Cats Reacting to Magic! (28.11.25)</t>
  </si>
  <si>
    <t>Cat's Can't Be Evil! (02.10.25)</t>
  </si>
  <si>
    <t>Cat vs Dog, Obstacle Challenge!! (10.11.25)</t>
  </si>
  <si>
    <t>Alligator vs Cat! (05.10.25)</t>
  </si>
  <si>
    <t>Cats Are The Best Hunters! (06.10.25)</t>
  </si>
  <si>
    <t>Ranking Orange Cat Moments 3 (18.12.25)</t>
  </si>
  <si>
    <t>Rankijg Musical Ai Cat Moments 2! (28.12.25)</t>
  </si>
  <si>
    <t>Elephants And Cats Are Friends! (11.10.25)</t>
  </si>
  <si>
    <t>Cat vs Drone! (12.10.25)</t>
  </si>
  <si>
    <t>Cats Are Friends With Rhinos! (13.10.25)</t>
  </si>
  <si>
    <t>Polite Cat vs Hangry Cat! (22.10.25)</t>
  </si>
  <si>
    <t>Ranking Scared Cat Moments! (23.11.25)</t>
  </si>
  <si>
    <t>Cats Love Bath! (23.10.25)</t>
  </si>
  <si>
    <t>Ranking Cats Playing Billard! (07.12.25)</t>
  </si>
  <si>
    <t>Cats Are Stupid! (24.10.25)</t>
  </si>
  <si>
    <t>Ranking Ai Musical Cat Moments! (04.12.25)</t>
  </si>
  <si>
    <t>Cat Jumping vs Other Animal Jumping! (26.10.25)</t>
  </si>
  <si>
    <t>Ranking Weird Sleeping Cat Moments! (08.12.25)</t>
  </si>
  <si>
    <t>Eagle Is Strong But Not Against Cat!! (27.10.25)</t>
  </si>
  <si>
    <t>Who is the Best Night Hunter? Owl or Cat? (28.10.25)</t>
  </si>
  <si>
    <t>Ranking Goofiest Cat Moments! (22.12.25)</t>
  </si>
  <si>
    <t>Dogs Attack Lonely Kitten But Mother Comes to Help! (29.10.25)</t>
  </si>
  <si>
    <t>Ranking Veterinerian Cat Moments! 2 (19.12.25)</t>
  </si>
  <si>
    <t>Ranking Goofiest Cat Moments! (12.12.25)</t>
  </si>
  <si>
    <t>Other Animals Jump vs Cats Jump! (01.11.25)</t>
  </si>
  <si>
    <t>Lion Attacks Everyone but Cat? (02.11.25)</t>
  </si>
  <si>
    <t>Cats Are Not Afraid Of Lions! (16.11.25)</t>
  </si>
  <si>
    <t>Cat Dont Work Hard Because He is SMART!! (03.11.25)</t>
  </si>
  <si>
    <t>Other Animals vs Cat on Cattle Grid!! (04.11.25)</t>
  </si>
  <si>
    <t>Cat Shows The Leopard Who Is The King!! (05.11.25)</t>
  </si>
  <si>
    <t>Robot Scares All Animals But Cat?? (05.11.25)</t>
  </si>
  <si>
    <t>Ranking Snapchat Effect On Cats! (03.01.26)</t>
  </si>
  <si>
    <t>The Cat Shows The Lion Who's King!! (06.11.25)</t>
  </si>
  <si>
    <t>Other Animals Attack Humans, But Cat??? (06.11.25)</t>
  </si>
  <si>
    <t>Ranking Cats Playing Pool Moments! (24.12.25)</t>
  </si>
  <si>
    <t>While Others Sleep… This Cat Trains!! (07.11.25)</t>
  </si>
  <si>
    <t>Dogs Are Afraid Of Rat But Cats? (10.11.25)</t>
  </si>
  <si>
    <t>This Baby Mother Protected Her Babies From Coyote Attack!!! (07.11.25)</t>
  </si>
  <si>
    <t>Ranking Cat Catch Fails #1 (03.12.25)</t>
  </si>
  <si>
    <t>How Cat Get A Fish!! (08.11.25)</t>
  </si>
  <si>
    <t>Ranking Unpredictable Cat Moments! (01.01.26)</t>
  </si>
  <si>
    <t>Turtle Speed vs Cat Speed! (08.11.25)</t>
  </si>
  <si>
    <t>Dogs Always Attack Kittens But Not This Kitten!!! (09.11.25)</t>
  </si>
  <si>
    <t>Ranking Cats Reacting Magic Moments! (26.12.25)</t>
  </si>
  <si>
    <t>Eagle Hunt Every Animal Except Cat!!! (10.11.25)</t>
  </si>
  <si>
    <t>Chicken Gets Help From Cat Against Weasel!!! (11.11.25)</t>
  </si>
  <si>
    <t>Ranking Cats Knows English (10.12.25)</t>
  </si>
  <si>
    <t>Cat is The Best Jump Hunter!!! (12.11.25)</t>
  </si>
  <si>
    <t>Big Cat Tries Hunting Gazelle! (13.11.25)</t>
  </si>
  <si>
    <t>Ranking Goofy Cat Moments 3! (07.01.26)</t>
  </si>
  <si>
    <t>Cat Mother is Different! (15.11.25)</t>
  </si>
  <si>
    <t>Squirrel Thinks He is Fast Until Cat Show Up!! (17.11.25)</t>
  </si>
  <si>
    <t>Cat Always Takes Revenge! (18.11.25)</t>
  </si>
  <si>
    <t>Dogs Fail Hunting Bear But Roes Cat Fail? (19.11.25)</t>
  </si>
  <si>
    <t>Ranking Dumbest Cat Moments 2 (17.12.25)</t>
  </si>
  <si>
    <t>Cat vs Other Animal Camouflage! (20.11.25)</t>
  </si>
  <si>
    <t>Ranking Usefull Cat Moments! (21.11.25)</t>
  </si>
  <si>
    <t>Top 5 Orange Cat Moments #2 (06.12.25)</t>
  </si>
  <si>
    <t>Ranking Scared Cat Moments!!!!!! (11.01.26)</t>
  </si>
  <si>
    <t>Ranking Cats Fails Catching Their Tail Moments! (30.12.25)</t>
  </si>
  <si>
    <t>Ranking Cats Understanding English Moments! (16.12.25)</t>
  </si>
  <si>
    <t>Ranking Cats Playing Pool Moments!!!! (08.01.26)</t>
  </si>
  <si>
    <t>Ranking Cats Failing Catch Moments! (12.01.26)</t>
  </si>
  <si>
    <t>Top 10 video (seçili metrik, en az 10.000 görüntüleme)</t>
  </si>
  <si>
    <t>Notlar: Veri YouTube Studio'dan alındı (22.07.2025 – 28.09.2026). Video bazlı değerler mevcut 154 videoyu kapsar; silinen videoların görüntülemeleri (~%0,3) dahil değildir.</t>
  </si>
  <si>
    <t>Abone kartı videolardan kazanılan aboneleri toplar (39.378); kanalın net abone artışı 31.793'tür (abonelikten çıkmalar videolara dağıtılmaz). Oranlar görüntülemeyle ağırlıklandırılmıştır.</t>
  </si>
  <si>
    <t>Top 10'a en az 10.000 görüntüleme alan videolar girer. Para kazanma 13.01.2026'da başladı. YouTube 27.08.2026'dan itibaren görüntülemeleri farklı sayıyor (etkisi çok küçük).</t>
  </si>
  <si>
    <t>2025</t>
  </si>
  <si>
    <t>2026</t>
  </si>
  <si>
    <t>Tem</t>
  </si>
  <si>
    <t>Ağu</t>
  </si>
  <si>
    <t>Eyl</t>
  </si>
  <si>
    <t>Eki</t>
  </si>
  <si>
    <t>Kas</t>
  </si>
  <si>
    <t>Ara</t>
  </si>
  <si>
    <t>Oca</t>
  </si>
  <si>
    <t>Şub</t>
  </si>
  <si>
    <t>Mar</t>
  </si>
  <si>
    <t>Nis</t>
  </si>
  <si>
    <t>May</t>
  </si>
  <si>
    <t>Haz</t>
  </si>
  <si>
    <t>1) Türlere göre özet (PvtTur) – tüm metrikler; oranlar hesaplanan alanlarla ağırlıklı</t>
  </si>
  <si>
    <t>3) Video bazında pivot (PvtVideo) – Top 10 formülünün kaynağı</t>
  </si>
  <si>
    <t>4) Kanal trendi (PvtTrend) – izlenme tarihine göre, Kanal_Günlük</t>
  </si>
  <si>
    <t>2) Dashboard'u besleyen formüller: seçili metrik (İNDİS/KAÇINCI), KPI kartları, Top 10 (FİLTRE/SIRALAÖLÇÜT)</t>
  </si>
  <si>
    <t>BULGULAR – portföydeki her sayı bu sayfadaki formüllerden gelir (İçerik tablosu, filtreden bağımsız)</t>
  </si>
  <si>
    <t>A) Video türüne göre performans</t>
  </si>
  <si>
    <t>Video sayısı</t>
  </si>
  <si>
    <t>Medyan görüntüleme</t>
  </si>
  <si>
    <t>Ortalama görüntüleme</t>
  </si>
  <si>
    <t>100 bin+ video</t>
  </si>
  <si>
    <t>100 bin+ oranı</t>
  </si>
  <si>
    <t>Ağırlıklı ort. izlenme %</t>
  </si>
  <si>
    <t>Etkileşim oranı</t>
  </si>
  <si>
    <t>Tüm kanal</t>
  </si>
  <si>
    <t>B) Yayın ayına göre içerik karışımı ve performans (kanalın strateji değişiklikleri)</t>
  </si>
  <si>
    <t>Yayın ayı</t>
  </si>
  <si>
    <t>Toplam görüntüleme</t>
  </si>
  <si>
    <t>⚠ ÖNEMLİ NOTLAR – rakamları yorumlamadan önce okuyun</t>
  </si>
  <si>
    <t>(Grafikler ve Top 10 bu metriği gösterir)   ⚠ Rakamları yorumlamadan önce sayfanın en altındaki notları okuyun 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</si>
</sst>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-;\-* #,##0_-;_-* &quot;-&quot;??_-;_-@_-"/>
    <numFmt numFmtId="165" formatCode="#,##0.0"/>
    <numFmt numFmtId="166" formatCode="[$$-409]#,##0.000"/>
    <numFmt numFmtId="167" formatCode="0.0%"/>
    <numFmt numFmtId="168" formatCode="#,##0_ ;\-#,##0\ "/>
    <numFmt numFmtId="174" formatCode="%0.0"/>
    <numFmt numFmtId="176" formatCode="mmmm\ yyyy"/>
  </numFmts>
  <fonts count="7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162"/>
      <scheme val="minor"/>
    </font>
    <font>
      <sz val="10"/>
      <color theme="1"/>
      <name val="Arial Unicode MS"/>
    </font>
    <font>
      <sz val="10"/>
      <color theme="1"/>
      <name val="Aptos Narrow"/>
      <family val="2"/>
      <charset val="162"/>
      <scheme val="minor"/>
    </font>
    <font>
      <sz val="13"/>
      <color theme="1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F3DC"/>
        <bgColor indexed="64"/>
      </patternFill>
    </fill>
    <fill>
      <patternFill patternType="solid">
        <fgColor rgb="FF1B433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43" fontId="0" fillId="0" borderId="0" xfId="1" applyFont="1"/>
    <xf numFmtId="10" fontId="0" fillId="0" borderId="0" xfId="2" applyNumberFormat="1" applyFont="1"/>
    <xf numFmtId="164" fontId="0" fillId="0" borderId="0" xfId="1" applyNumberFormat="1" applyFont="1"/>
    <xf numFmtId="14" fontId="0" fillId="0" borderId="0" xfId="0" applyNumberFormat="1"/>
    <xf numFmtId="3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167" fontId="0" fillId="0" borderId="0" xfId="2" applyNumberFormat="1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7" fontId="0" fillId="0" borderId="0" xfId="0" applyNumberFormat="1"/>
    <xf numFmtId="43" fontId="0" fillId="0" borderId="0" xfId="0" applyNumberFormat="1"/>
    <xf numFmtId="168" fontId="0" fillId="0" borderId="0" xfId="0" applyNumberFormat="1"/>
    <xf numFmtId="0" fontId="0" fillId="0" borderId="0" xfId="0" applyNumberForma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2" borderId="0" xfId="0" applyFill="1"/>
    <xf numFmtId="0" fontId="0" fillId="0" borderId="0" xfId="0" applyAlignment="1">
      <alignment horizontal="left" indent="1"/>
    </xf>
    <xf numFmtId="174" fontId="0" fillId="0" borderId="0" xfId="0" applyNumberFormat="1"/>
    <xf numFmtId="176" fontId="0" fillId="0" borderId="0" xfId="0" applyNumberFormat="1"/>
    <xf numFmtId="0" fontId="0" fillId="2" borderId="0" xfId="0" applyFont="1" applyFill="1"/>
    <xf numFmtId="0" fontId="5" fillId="2" borderId="0" xfId="0" applyFont="1" applyFill="1"/>
    <xf numFmtId="0" fontId="3" fillId="3" borderId="0" xfId="0" applyFont="1" applyFill="1" applyAlignment="1">
      <alignment wrapText="1"/>
    </xf>
    <xf numFmtId="0" fontId="6" fillId="0" borderId="0" xfId="0" applyFont="1"/>
  </cellXfs>
  <cellStyles count="3">
    <cellStyle name="Normal" xfId="0" builtinId="0"/>
    <cellStyle name="Virgül" xfId="1" builtinId="3"/>
    <cellStyle name="Yüzde" xfId="2" builtinId="5"/>
  </cellStyles>
  <dxfs count="105">
    <dxf>
      <numFmt numFmtId="164" formatCode="_-* #,##0_-;\-* #,##0_-;_-* &quot;-&quot;??_-;_-@_-"/>
    </dxf>
    <dxf>
      <numFmt numFmtId="167" formatCode="0.0%"/>
    </dxf>
    <dxf>
      <numFmt numFmtId="167" formatCode="0.0%"/>
    </dxf>
    <dxf>
      <numFmt numFmtId="35" formatCode="_-* #,##0.00_-;\-* #,##0.00_-;_-* &quot;-&quot;??_-;_-@_-"/>
    </dxf>
    <dxf>
      <numFmt numFmtId="165" formatCode="#,##0.0"/>
    </dxf>
    <dxf>
      <numFmt numFmtId="14" formatCode="0.00%"/>
    </dxf>
    <dxf>
      <numFmt numFmtId="168" formatCode="#,##0_ ;\-#,##0\ "/>
    </dxf>
    <dxf>
      <numFmt numFmtId="3" formatCode="#,##0"/>
    </dxf>
    <dxf>
      <numFmt numFmtId="167" formatCode="0.0%"/>
    </dxf>
    <dxf>
      <numFmt numFmtId="167" formatCode="0.0%"/>
    </dxf>
    <dxf>
      <numFmt numFmtId="35" formatCode="_-* #,##0.00_-;\-* #,##0.00_-;_-* &quot;-&quot;??_-;_-@_-"/>
    </dxf>
    <dxf>
      <numFmt numFmtId="165" formatCode="#,##0.0"/>
    </dxf>
    <dxf>
      <numFmt numFmtId="14" formatCode="0.00%"/>
    </dxf>
    <dxf>
      <numFmt numFmtId="168" formatCode="#,##0_ ;\-#,##0\ "/>
    </dxf>
    <dxf>
      <numFmt numFmtId="3" formatCode="#,##0"/>
    </dxf>
    <dxf>
      <numFmt numFmtId="164" formatCode="_-* #,##0_-;\-* #,##0_-;_-* &quot;-&quot;??_-;_-@_-"/>
    </dxf>
    <dxf>
      <numFmt numFmtId="167" formatCode="0.0%"/>
    </dxf>
    <dxf>
      <numFmt numFmtId="167" formatCode="0.0%"/>
    </dxf>
    <dxf>
      <numFmt numFmtId="35" formatCode="_-* #,##0.00_-;\-* #,##0.00_-;_-* &quot;-&quot;??_-;_-@_-"/>
    </dxf>
    <dxf>
      <numFmt numFmtId="165" formatCode="#,##0.0"/>
    </dxf>
    <dxf>
      <numFmt numFmtId="14" formatCode="0.00%"/>
    </dxf>
    <dxf>
      <numFmt numFmtId="168" formatCode="#,##0_ ;\-#,##0\ "/>
    </dxf>
    <dxf>
      <numFmt numFmtId="3" formatCode="#,##0"/>
    </dxf>
    <dxf>
      <numFmt numFmtId="167" formatCode="0.0%"/>
    </dxf>
    <dxf>
      <numFmt numFmtId="167" formatCode="0.0%"/>
    </dxf>
    <dxf>
      <numFmt numFmtId="35" formatCode="_-* #,##0.00_-;\-* #,##0.00_-;_-* &quot;-&quot;??_-;_-@_-"/>
    </dxf>
    <dxf>
      <numFmt numFmtId="165" formatCode="#,##0.0"/>
    </dxf>
    <dxf>
      <numFmt numFmtId="14" formatCode="0.00%"/>
    </dxf>
    <dxf>
      <numFmt numFmtId="168" formatCode="#,##0_ ;\-#,##0\ "/>
    </dxf>
    <dxf>
      <numFmt numFmtId="3" formatCode="#,##0"/>
    </dxf>
    <dxf>
      <numFmt numFmtId="164" formatCode="_-* #,##0_-;\-* #,##0_-;_-* &quot;-&quot;??_-;_-@_-"/>
    </dxf>
    <dxf>
      <numFmt numFmtId="167" formatCode="0.0%"/>
    </dxf>
    <dxf>
      <numFmt numFmtId="167" formatCode="0.0%"/>
    </dxf>
    <dxf>
      <numFmt numFmtId="35" formatCode="_-* #,##0.00_-;\-* #,##0.00_-;_-* &quot;-&quot;??_-;_-@_-"/>
    </dxf>
    <dxf>
      <numFmt numFmtId="165" formatCode="#,##0.0"/>
    </dxf>
    <dxf>
      <numFmt numFmtId="14" formatCode="0.00%"/>
    </dxf>
    <dxf>
      <numFmt numFmtId="168" formatCode="#,##0_ ;\-#,##0\ "/>
    </dxf>
    <dxf>
      <numFmt numFmtId="3" formatCode="#,##0"/>
    </dxf>
    <dxf>
      <numFmt numFmtId="167" formatCode="0.0%"/>
    </dxf>
    <dxf>
      <numFmt numFmtId="167" formatCode="0.0%"/>
    </dxf>
    <dxf>
      <numFmt numFmtId="35" formatCode="_-* #,##0.00_-;\-* #,##0.00_-;_-* &quot;-&quot;??_-;_-@_-"/>
    </dxf>
    <dxf>
      <numFmt numFmtId="165" formatCode="#,##0.0"/>
    </dxf>
    <dxf>
      <numFmt numFmtId="14" formatCode="0.00%"/>
    </dxf>
    <dxf>
      <numFmt numFmtId="168" formatCode="#,##0_ ;\-#,##0\ "/>
    </dxf>
    <dxf>
      <numFmt numFmtId="3" formatCode="#,##0"/>
    </dxf>
    <dxf>
      <numFmt numFmtId="164" formatCode="_-* #,##0_-;\-* #,##0_-;_-* &quot;-&quot;??_-;_-@_-"/>
    </dxf>
    <dxf>
      <numFmt numFmtId="167" formatCode="0.0%"/>
    </dxf>
    <dxf>
      <numFmt numFmtId="167" formatCode="0.0%"/>
    </dxf>
    <dxf>
      <numFmt numFmtId="35" formatCode="_-* #,##0.00_-;\-* #,##0.00_-;_-* &quot;-&quot;??_-;_-@_-"/>
    </dxf>
    <dxf>
      <numFmt numFmtId="165" formatCode="#,##0.0"/>
    </dxf>
    <dxf>
      <numFmt numFmtId="14" formatCode="0.00%"/>
    </dxf>
    <dxf>
      <numFmt numFmtId="168" formatCode="#,##0_ ;\-#,##0\ "/>
    </dxf>
    <dxf>
      <numFmt numFmtId="3" formatCode="#,##0"/>
    </dxf>
    <dxf>
      <numFmt numFmtId="167" formatCode="0.0%"/>
    </dxf>
    <dxf>
      <numFmt numFmtId="167" formatCode="0.0%"/>
    </dxf>
    <dxf>
      <numFmt numFmtId="35" formatCode="_-* #,##0.00_-;\-* #,##0.00_-;_-* &quot;-&quot;??_-;_-@_-"/>
    </dxf>
    <dxf>
      <numFmt numFmtId="165" formatCode="#,##0.0"/>
    </dxf>
    <dxf>
      <numFmt numFmtId="14" formatCode="0.00%"/>
    </dxf>
    <dxf>
      <numFmt numFmtId="168" formatCode="#,##0_ ;\-#,##0\ "/>
    </dxf>
    <dxf>
      <numFmt numFmtId="3" formatCode="#,##0"/>
    </dxf>
    <dxf>
      <numFmt numFmtId="167" formatCode="0.0%"/>
    </dxf>
    <dxf>
      <numFmt numFmtId="167" formatCode="0.0%"/>
    </dxf>
    <dxf>
      <numFmt numFmtId="35" formatCode="_-* #,##0.00_-;\-* #,##0.00_-;_-* &quot;-&quot;??_-;_-@_-"/>
    </dxf>
    <dxf>
      <numFmt numFmtId="165" formatCode="#,##0.0"/>
    </dxf>
    <dxf>
      <numFmt numFmtId="14" formatCode="0.00%"/>
    </dxf>
    <dxf>
      <numFmt numFmtId="168" formatCode="#,##0_ ;\-#,##0\ 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</dxf>
    <dxf>
      <numFmt numFmtId="164" formatCode="_-* #,##0_-;\-* #,##0_-;_-* &quot;-&quot;??_-;_-@_-"/>
    </dxf>
    <dxf>
      <numFmt numFmtId="165" formatCode="#,##0.0"/>
    </dxf>
    <dxf>
      <numFmt numFmtId="164" formatCode="_-* #,##0_-;\-* #,##0_-;_-* &quot;-&quot;??_-;_-@_-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/mm/yyyy"/>
    </dxf>
    <dxf>
      <numFmt numFmtId="0" formatCode="General"/>
    </dxf>
    <dxf>
      <numFmt numFmtId="14" formatCode="0.00%"/>
    </dxf>
    <dxf>
      <numFmt numFmtId="3" formatCode="#,##0"/>
    </dxf>
    <dxf>
      <numFmt numFmtId="166" formatCode="[$$-409]#,##0.000"/>
    </dxf>
    <dxf>
      <numFmt numFmtId="3" formatCode="#,##0"/>
    </dxf>
    <dxf>
      <numFmt numFmtId="165" formatCode="#,##0.0"/>
    </dxf>
    <dxf>
      <numFmt numFmtId="164" formatCode="_-* #,##0_-;\-* #,##0_-;_-* &quot;-&quot;??_-;_-@_-"/>
    </dxf>
    <dxf>
      <numFmt numFmtId="167" formatCode="0.0%"/>
    </dxf>
    <dxf>
      <numFmt numFmtId="164" formatCode="_-* #,##0_-;\-* #,##0_-;_-* &quot;-&quot;??_-;_-@_-"/>
    </dxf>
    <dxf>
      <numFmt numFmtId="1" formatCode="0"/>
    </dxf>
    <dxf>
      <numFmt numFmtId="3" formatCode="#,##0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168" formatCode="#,##0_ ;\-#,##0\ "/>
    </dxf>
    <dxf>
      <numFmt numFmtId="14" formatCode="0.00%"/>
    </dxf>
    <dxf>
      <numFmt numFmtId="165" formatCode="#,##0.0"/>
    </dxf>
    <dxf>
      <numFmt numFmtId="35" formatCode="_-* #,##0.00_-;\-* #,##0.00_-;_-* &quot;-&quot;??_-;_-@_-"/>
    </dxf>
    <dxf>
      <numFmt numFmtId="167" formatCode="0.0%"/>
    </dxf>
    <dxf>
      <numFmt numFmtId="167" formatCode="0.0%"/>
    </dxf>
    <dxf>
      <numFmt numFmtId="164" formatCode="_-* #,##0_-;\-* #,##0_-;_-* &quot;-&quot;??_-;_-@_-"/>
    </dxf>
  </dxfs>
  <tableStyles count="0" defaultTableStyle="TableStyleMedium2" defaultPivotStyle="PivotStyleLight16"/>
  <colors>
    <mruColors>
      <color rgb="FF1B4332"/>
      <color rgb="FFD8F3DC"/>
      <color rgb="FF40916C"/>
      <color rgb="FF1E1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1/relationships/timelineCache" Target="timelineCaches/timelineCache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1/relationships/timelineCache" Target="timelineCaches/timeline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Analiz!$B$31</c:f>
          <c:strCache>
            <c:ptCount val="1"/>
            <c:pt idx="0">
              <c:v>Görüntüleme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Analiz!$B$30:$B$31</c:f>
              <c:strCache>
                <c:ptCount val="2"/>
                <c:pt idx="1">
                  <c:v>Görüntüleme </c:v>
                </c:pt>
              </c:strCache>
            </c:strRef>
          </c:tx>
          <c:spPr>
            <a:solidFill>
              <a:srgbClr val="40916C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88F590C-76B7-4DE8-A31F-0850DDEAF191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31F-4648-831A-78C0410A3BF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4C669E1-8745-4973-A924-7752F5BF8A3B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31F-4648-831A-78C0410A3BF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7C4FA19-DA52-4975-B628-997D2B972A22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31F-4648-831A-78C0410A3BF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69DE6E6-3B43-4306-842A-0940C4A0DC07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31F-4648-831A-78C0410A3BF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EC3131F-4A48-4F17-AD62-09F405A40E60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31F-4648-831A-78C0410A3B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Analiz!$A$32:$A$36</c:f>
              <c:strCache>
                <c:ptCount val="5"/>
                <c:pt idx="0">
                  <c:v>Compilation</c:v>
                </c:pt>
                <c:pt idx="1">
                  <c:v>Diğer</c:v>
                </c:pt>
                <c:pt idx="2">
                  <c:v>Ranking</c:v>
                </c:pt>
                <c:pt idx="3">
                  <c:v>Skull Edit</c:v>
                </c:pt>
                <c:pt idx="4">
                  <c:v>Votkak Edit</c:v>
                </c:pt>
              </c:strCache>
            </c:strRef>
          </c:cat>
          <c:val>
            <c:numRef>
              <c:f>Analiz!$B$32:$B$36</c:f>
              <c:numCache>
                <c:formatCode>General</c:formatCode>
                <c:ptCount val="5"/>
                <c:pt idx="0">
                  <c:v>141143</c:v>
                </c:pt>
                <c:pt idx="1">
                  <c:v>79018</c:v>
                </c:pt>
                <c:pt idx="2">
                  <c:v>6286923</c:v>
                </c:pt>
                <c:pt idx="3">
                  <c:v>11900928</c:v>
                </c:pt>
                <c:pt idx="4">
                  <c:v>17239853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Analiz!$C$32:$C$36</c15:f>
                <c15:dlblRangeCache>
                  <c:ptCount val="5"/>
                  <c:pt idx="0">
                    <c:v>141.143</c:v>
                  </c:pt>
                  <c:pt idx="1">
                    <c:v>79.018</c:v>
                  </c:pt>
                  <c:pt idx="2">
                    <c:v>6.286.923</c:v>
                  </c:pt>
                  <c:pt idx="3">
                    <c:v>11.900.928</c:v>
                  </c:pt>
                  <c:pt idx="4">
                    <c:v>17.239.853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31F-4648-831A-78C0410A3B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60"/>
        <c:axId val="929655152"/>
        <c:axId val="1475113583"/>
      </c:barChart>
      <c:catAx>
        <c:axId val="9296551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75113583"/>
        <c:crosses val="autoZero"/>
        <c:auto val="1"/>
        <c:lblAlgn val="ctr"/>
        <c:lblOffset val="100"/>
        <c:noMultiLvlLbl val="0"/>
      </c:catAx>
      <c:valAx>
        <c:axId val="1475113583"/>
        <c:scaling>
          <c:orientation val="minMax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2965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Analiz!$D$39</c:f>
          <c:strCache>
            <c:ptCount val="1"/>
            <c:pt idx="0">
              <c:v>En İyi 10 Video: Görüntüleme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0.53244422572178474"/>
          <c:y val="0.17171296296296298"/>
          <c:w val="0.37380577427821521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0916C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190E545-3AE1-4A12-935B-EC838348C2AF}" type="CELLRANGE">
                      <a:rPr lang="en-US"/>
                      <a:pPr/>
                      <a:t>[CELLRANGE]</a:t>
                    </a:fld>
                    <a:endParaRPr lang="tr-T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D9D-4D38-B340-021342210D6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B61DB0D-E502-4DC7-9D18-6F782AF95BFD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D9D-4D38-B340-021342210D6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4BF9675-BE7D-49E4-8A62-11A7DBD0FBC0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D9D-4D38-B340-021342210D6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30F9B28-D985-4190-B77D-01672ADAD1CA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D9D-4D38-B340-021342210D6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4B8F0AC-70CC-4243-9F41-8852B9E94153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D9D-4D38-B340-021342210D6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BBA78E4-61D2-4358-894D-A1A39BE67736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D9D-4D38-B340-021342210D6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56892B8-244B-4DAB-8986-A04ED996F276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D9D-4D38-B340-021342210D6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38C6447-A525-45A0-BFDA-F614E4E08896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D9D-4D38-B340-021342210D6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16B058A-F898-4041-903E-130F9F7EB3CE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D9D-4D38-B340-021342210D6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8ECB421-30EF-45CE-8CB6-A3089BB16AA6}" type="CELLRANGE">
                      <a:rPr lang="tr-TR"/>
                      <a:pPr/>
                      <a:t>[CELLRANGE]</a:t>
                    </a:fld>
                    <a:endParaRPr lang="tr-T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D9D-4D38-B340-021342210D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Analiz!$A$40:$A$49</c:f>
              <c:strCache>
                <c:ptCount val="10"/>
                <c:pt idx="0">
                  <c:v>Snake speed vs Cat Speed!! (31.10.25)</c:v>
                </c:pt>
                <c:pt idx="1">
                  <c:v>Girl vs Boy Cats! (17.08.25)</c:v>
                </c:pt>
                <c:pt idx="2">
                  <c:v>Ranking Veterinarian Cat Moments! (25.11.25)</c:v>
                </c:pt>
                <c:pt idx="3">
                  <c:v>Coyote vs Cat! (09.10.25)</c:v>
                </c:pt>
                <c:pt idx="4">
                  <c:v>Eagle Hunting vs Cat Hunting! (04.10.25)</c:v>
                </c:pt>
                <c:pt idx="5">
                  <c:v>Cats Camouflage vs Other Animal Camouflage! (25.10.25)</c:v>
                </c:pt>
                <c:pt idx="6">
                  <c:v>Cat is Not Afraid Of Horse! (14.11.25)</c:v>
                </c:pt>
                <c:pt idx="7">
                  <c:v>Cats Cant Drift! (20.08.25)</c:v>
                </c:pt>
                <c:pt idx="8">
                  <c:v>Escape Master Cat! (30.10.25)</c:v>
                </c:pt>
                <c:pt idx="9">
                  <c:v>Ranking Cats Being Powerless! (09.12.25)</c:v>
                </c:pt>
              </c:strCache>
            </c:strRef>
          </c:cat>
          <c:val>
            <c:numRef>
              <c:f>Analiz!$B$40:$B$49</c:f>
              <c:numCache>
                <c:formatCode>General</c:formatCode>
                <c:ptCount val="10"/>
                <c:pt idx="0">
                  <c:v>12066018</c:v>
                </c:pt>
                <c:pt idx="1">
                  <c:v>9245082</c:v>
                </c:pt>
                <c:pt idx="2">
                  <c:v>4525030</c:v>
                </c:pt>
                <c:pt idx="3">
                  <c:v>1220890</c:v>
                </c:pt>
                <c:pt idx="4">
                  <c:v>1180464</c:v>
                </c:pt>
                <c:pt idx="5">
                  <c:v>1053492</c:v>
                </c:pt>
                <c:pt idx="6">
                  <c:v>1035157</c:v>
                </c:pt>
                <c:pt idx="7">
                  <c:v>448417</c:v>
                </c:pt>
                <c:pt idx="8">
                  <c:v>252357</c:v>
                </c:pt>
                <c:pt idx="9">
                  <c:v>201821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Analiz!$C$40:$C$49</c15:f>
                <c15:dlblRangeCache>
                  <c:ptCount val="10"/>
                  <c:pt idx="0">
                    <c:v>12.066.018</c:v>
                  </c:pt>
                  <c:pt idx="1">
                    <c:v>9.245.082</c:v>
                  </c:pt>
                  <c:pt idx="2">
                    <c:v>4.525.030</c:v>
                  </c:pt>
                  <c:pt idx="3">
                    <c:v>1.220.890</c:v>
                  </c:pt>
                  <c:pt idx="4">
                    <c:v>1.180.464</c:v>
                  </c:pt>
                  <c:pt idx="5">
                    <c:v>1.053.492</c:v>
                  </c:pt>
                  <c:pt idx="6">
                    <c:v>1.035.157</c:v>
                  </c:pt>
                  <c:pt idx="7">
                    <c:v>448.417</c:v>
                  </c:pt>
                  <c:pt idx="8">
                    <c:v>252.357</c:v>
                  </c:pt>
                  <c:pt idx="9">
                    <c:v>201.821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CD9D-4D38-B340-021342210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71106559"/>
        <c:axId val="1216155119"/>
      </c:barChart>
      <c:catAx>
        <c:axId val="1171106559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16155119"/>
        <c:crosses val="autoZero"/>
        <c:auto val="1"/>
        <c:lblAlgn val="ctr"/>
        <c:lblOffset val="100"/>
        <c:noMultiLvlLbl val="0"/>
      </c:catAx>
      <c:valAx>
        <c:axId val="1216155119"/>
        <c:scaling>
          <c:orientation val="minMax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71106559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[Meowtrix.xlsx]Analiz!PvtTrend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Kanal Trendi: Aylık Görüntüleme ve Net Abone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shade val="76000"/>
              </a:schemeClr>
            </a:solidFill>
            <a:ln w="9525">
              <a:solidFill>
                <a:schemeClr val="accent3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tint val="77000"/>
              </a:schemeClr>
            </a:solidFill>
            <a:ln w="9525">
              <a:solidFill>
                <a:schemeClr val="accent3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Analiz!$AG$3</c:f>
              <c:strCache>
                <c:ptCount val="1"/>
                <c:pt idx="0">
                  <c:v>Toplam Görüntüleme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Analiz!$AF$4:$AF$21</c:f>
              <c:multiLvlStrCache>
                <c:ptCount val="15"/>
                <c:lvl>
                  <c:pt idx="0">
                    <c:v>Tem</c:v>
                  </c:pt>
                  <c:pt idx="1">
                    <c:v>Ağu</c:v>
                  </c:pt>
                  <c:pt idx="2">
                    <c:v>Eyl</c:v>
                  </c:pt>
                  <c:pt idx="3">
                    <c:v>Eki</c:v>
                  </c:pt>
                  <c:pt idx="4">
                    <c:v>Kas</c:v>
                  </c:pt>
                  <c:pt idx="5">
                    <c:v>Ara</c:v>
                  </c:pt>
                  <c:pt idx="6">
                    <c:v>Oca</c:v>
                  </c:pt>
                  <c:pt idx="7">
                    <c:v>Şub</c:v>
                  </c:pt>
                  <c:pt idx="8">
                    <c:v>Mar</c:v>
                  </c:pt>
                  <c:pt idx="9">
                    <c:v>Nis</c:v>
                  </c:pt>
                  <c:pt idx="10">
                    <c:v>May</c:v>
                  </c:pt>
                  <c:pt idx="11">
                    <c:v>Haz</c:v>
                  </c:pt>
                  <c:pt idx="12">
                    <c:v>Tem</c:v>
                  </c:pt>
                  <c:pt idx="13">
                    <c:v>Ağu</c:v>
                  </c:pt>
                  <c:pt idx="14">
                    <c:v>Eyl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Analiz!$AG$4:$AG$21</c:f>
              <c:numCache>
                <c:formatCode>_-* #,##0_-;\-* #,##0_-;_-* "-"??_-;_-@_-</c:formatCode>
                <c:ptCount val="15"/>
                <c:pt idx="0">
                  <c:v>692</c:v>
                </c:pt>
                <c:pt idx="1">
                  <c:v>4166931</c:v>
                </c:pt>
                <c:pt idx="2">
                  <c:v>5733606</c:v>
                </c:pt>
                <c:pt idx="3">
                  <c:v>5123613</c:v>
                </c:pt>
                <c:pt idx="4">
                  <c:v>15535952</c:v>
                </c:pt>
                <c:pt idx="5">
                  <c:v>4506506</c:v>
                </c:pt>
                <c:pt idx="6">
                  <c:v>558446</c:v>
                </c:pt>
                <c:pt idx="7">
                  <c:v>10701</c:v>
                </c:pt>
                <c:pt idx="8">
                  <c:v>10007</c:v>
                </c:pt>
                <c:pt idx="9">
                  <c:v>10844</c:v>
                </c:pt>
                <c:pt idx="10">
                  <c:v>12143</c:v>
                </c:pt>
                <c:pt idx="11">
                  <c:v>16510</c:v>
                </c:pt>
                <c:pt idx="12">
                  <c:v>19662</c:v>
                </c:pt>
                <c:pt idx="13">
                  <c:v>23202</c:v>
                </c:pt>
                <c:pt idx="14">
                  <c:v>20737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C-4940-AE91-F5F7206B2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171097279"/>
        <c:axId val="1216178159"/>
      </c:barChart>
      <c:lineChart>
        <c:grouping val="standard"/>
        <c:varyColors val="0"/>
        <c:ser>
          <c:idx val="1"/>
          <c:order val="1"/>
          <c:tx>
            <c:strRef>
              <c:f>Analiz!$AH$3</c:f>
              <c:strCache>
                <c:ptCount val="1"/>
                <c:pt idx="0">
                  <c:v>Toplam Aboneler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tint val="77000"/>
                </a:schemeClr>
              </a:solidFill>
              <a:ln w="9525">
                <a:solidFill>
                  <a:schemeClr val="accent3">
                    <a:tint val="77000"/>
                  </a:schemeClr>
                </a:solidFill>
              </a:ln>
              <a:effectLst/>
            </c:spPr>
          </c:marker>
          <c:cat>
            <c:multiLvlStrRef>
              <c:f>Analiz!$AF$4:$AF$21</c:f>
              <c:multiLvlStrCache>
                <c:ptCount val="15"/>
                <c:lvl>
                  <c:pt idx="0">
                    <c:v>Tem</c:v>
                  </c:pt>
                  <c:pt idx="1">
                    <c:v>Ağu</c:v>
                  </c:pt>
                  <c:pt idx="2">
                    <c:v>Eyl</c:v>
                  </c:pt>
                  <c:pt idx="3">
                    <c:v>Eki</c:v>
                  </c:pt>
                  <c:pt idx="4">
                    <c:v>Kas</c:v>
                  </c:pt>
                  <c:pt idx="5">
                    <c:v>Ara</c:v>
                  </c:pt>
                  <c:pt idx="6">
                    <c:v>Oca</c:v>
                  </c:pt>
                  <c:pt idx="7">
                    <c:v>Şub</c:v>
                  </c:pt>
                  <c:pt idx="8">
                    <c:v>Mar</c:v>
                  </c:pt>
                  <c:pt idx="9">
                    <c:v>Nis</c:v>
                  </c:pt>
                  <c:pt idx="10">
                    <c:v>May</c:v>
                  </c:pt>
                  <c:pt idx="11">
                    <c:v>Haz</c:v>
                  </c:pt>
                  <c:pt idx="12">
                    <c:v>Tem</c:v>
                  </c:pt>
                  <c:pt idx="13">
                    <c:v>Ağu</c:v>
                  </c:pt>
                  <c:pt idx="14">
                    <c:v>Eyl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Analiz!$AH$4:$AH$21</c:f>
              <c:numCache>
                <c:formatCode>#,##0</c:formatCode>
                <c:ptCount val="15"/>
                <c:pt idx="0">
                  <c:v>7</c:v>
                </c:pt>
                <c:pt idx="1">
                  <c:v>9831</c:v>
                </c:pt>
                <c:pt idx="2">
                  <c:v>12303</c:v>
                </c:pt>
                <c:pt idx="3">
                  <c:v>3982</c:v>
                </c:pt>
                <c:pt idx="4">
                  <c:v>4637</c:v>
                </c:pt>
                <c:pt idx="5">
                  <c:v>1726</c:v>
                </c:pt>
                <c:pt idx="6">
                  <c:v>243</c:v>
                </c:pt>
                <c:pt idx="7">
                  <c:v>-120</c:v>
                </c:pt>
                <c:pt idx="8">
                  <c:v>-143</c:v>
                </c:pt>
                <c:pt idx="9">
                  <c:v>-154</c:v>
                </c:pt>
                <c:pt idx="10">
                  <c:v>-105</c:v>
                </c:pt>
                <c:pt idx="11">
                  <c:v>-136</c:v>
                </c:pt>
                <c:pt idx="12">
                  <c:v>-116</c:v>
                </c:pt>
                <c:pt idx="13">
                  <c:v>-106</c:v>
                </c:pt>
                <c:pt idx="14">
                  <c:v>-56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EC-4940-AE91-F5F7206B2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1087535"/>
        <c:axId val="1216167119"/>
      </c:lineChart>
      <c:catAx>
        <c:axId val="117109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16178159"/>
        <c:crosses val="autoZero"/>
        <c:auto val="1"/>
        <c:lblAlgn val="ctr"/>
        <c:lblOffset val="100"/>
        <c:noMultiLvlLbl val="0"/>
      </c:catAx>
      <c:valAx>
        <c:axId val="1216178159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71097279"/>
        <c:crosses val="autoZero"/>
        <c:crossBetween val="between"/>
      </c:valAx>
      <c:valAx>
        <c:axId val="1216167119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71087535"/>
        <c:crosses val="max"/>
        <c:crossBetween val="between"/>
      </c:valAx>
      <c:catAx>
        <c:axId val="11710875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16167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104775</xdr:rowOff>
    </xdr:from>
    <xdr:to>
      <xdr:col>18</xdr:col>
      <xdr:colOff>9525</xdr:colOff>
      <xdr:row>13</xdr:row>
      <xdr:rowOff>9525</xdr:rowOff>
    </xdr:to>
    <xdr:sp macro="" textlink=""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A7AB7FF2-0254-5853-A2DB-617435D305F5}"/>
            </a:ext>
          </a:extLst>
        </xdr:cNvPr>
        <xdr:cNvSpPr/>
      </xdr:nvSpPr>
      <xdr:spPr>
        <a:xfrm>
          <a:off x="171450" y="104775"/>
          <a:ext cx="12077700" cy="2381250"/>
        </a:xfrm>
        <a:prstGeom prst="roundRect">
          <a:avLst/>
        </a:prstGeom>
        <a:solidFill>
          <a:srgbClr val="1B433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tr-TR" sz="3000">
              <a:solidFill>
                <a:schemeClr val="bg1"/>
              </a:solidFill>
            </a:rPr>
            <a:t>MEOWTRIX</a:t>
          </a:r>
        </a:p>
        <a:p>
          <a:pPr algn="r"/>
          <a:r>
            <a:rPr lang="tr-TR" sz="3000">
              <a:solidFill>
                <a:schemeClr val="bg1"/>
              </a:solidFill>
            </a:rPr>
            <a:t>YOUTUBE ANALİTİK</a:t>
          </a:r>
        </a:p>
      </xdr:txBody>
    </xdr:sp>
    <xdr:clientData/>
  </xdr:twoCellAnchor>
  <xdr:twoCellAnchor>
    <xdr:from>
      <xdr:col>0</xdr:col>
      <xdr:colOff>9525</xdr:colOff>
      <xdr:row>20</xdr:row>
      <xdr:rowOff>171450</xdr:rowOff>
    </xdr:from>
    <xdr:to>
      <xdr:col>5</xdr:col>
      <xdr:colOff>266700</xdr:colOff>
      <xdr:row>35</xdr:row>
      <xdr:rowOff>57150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3A4439B0-D928-4067-A47B-5B81D5115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7</xdr:row>
      <xdr:rowOff>0</xdr:rowOff>
    </xdr:from>
    <xdr:to>
      <xdr:col>10</xdr:col>
      <xdr:colOff>410775</xdr:colOff>
      <xdr:row>12</xdr:row>
      <xdr:rowOff>91500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2" name="Videonun yayınlanma tarihi">
              <a:extLst>
                <a:ext uri="{FF2B5EF4-FFF2-40B4-BE49-F238E27FC236}">
                  <a16:creationId xmlns:a16="http://schemas.microsoft.com/office/drawing/2014/main" id="{8B1DE304-BF9C-4259-AB87-E21FF12908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Videonun yayınlanma tarihi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1333500"/>
              <a:ext cx="7164000" cy="104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Zaman Çizelgesi: Excel 2013 veya daha sonraki sürümlerde çalışır. Taşımayın veya yeniden boyutlandırmayın.</a:t>
              </a:r>
            </a:p>
          </xdr:txBody>
        </xdr:sp>
      </mc:Fallback>
    </mc:AlternateContent>
    <xdr:clientData/>
  </xdr:twoCellAnchor>
  <xdr:twoCellAnchor>
    <xdr:from>
      <xdr:col>0</xdr:col>
      <xdr:colOff>171450</xdr:colOff>
      <xdr:row>13</xdr:row>
      <xdr:rowOff>38100</xdr:rowOff>
    </xdr:from>
    <xdr:to>
      <xdr:col>1</xdr:col>
      <xdr:colOff>1819275</xdr:colOff>
      <xdr:row>18</xdr:row>
      <xdr:rowOff>0</xdr:rowOff>
    </xdr:to>
    <xdr:grpSp>
      <xdr:nvGrpSpPr>
        <xdr:cNvPr id="15" name="Grup 14">
          <a:extLst>
            <a:ext uri="{FF2B5EF4-FFF2-40B4-BE49-F238E27FC236}">
              <a16:creationId xmlns:a16="http://schemas.microsoft.com/office/drawing/2014/main" id="{704668E6-DAB5-0453-CDC7-11331FE847D2}"/>
            </a:ext>
          </a:extLst>
        </xdr:cNvPr>
        <xdr:cNvGrpSpPr/>
      </xdr:nvGrpSpPr>
      <xdr:grpSpPr>
        <a:xfrm>
          <a:off x="171450" y="2514600"/>
          <a:ext cx="2257425" cy="914400"/>
          <a:chOff x="171450" y="2667000"/>
          <a:chExt cx="2257425" cy="914400"/>
        </a:xfrm>
      </xdr:grpSpPr>
      <xdr:sp macro="" textlink="Analiz!$F$31">
        <xdr:nvSpPr>
          <xdr:cNvPr id="13" name="Dikdörtgen: Köşeleri Yuvarlatılmış 12">
            <a:extLst>
              <a:ext uri="{FF2B5EF4-FFF2-40B4-BE49-F238E27FC236}">
                <a16:creationId xmlns:a16="http://schemas.microsoft.com/office/drawing/2014/main" id="{32E6F355-C23D-381F-D6E4-5FD551D8BF48}"/>
              </a:ext>
            </a:extLst>
          </xdr:cNvPr>
          <xdr:cNvSpPr/>
        </xdr:nvSpPr>
        <xdr:spPr>
          <a:xfrm>
            <a:off x="171450" y="2667000"/>
            <a:ext cx="2257425" cy="914400"/>
          </a:xfrm>
          <a:prstGeom prst="roundRect">
            <a:avLst/>
          </a:prstGeom>
          <a:solidFill>
            <a:srgbClr val="1B433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4B4CE31E-573A-4209-9625-9F43FD1FF550}" type="TxLink">
              <a:rPr lang="en-US" sz="2800" b="1" i="0" u="none" strike="noStrike">
                <a:solidFill>
                  <a:schemeClr val="bg1"/>
                </a:solidFill>
                <a:latin typeface="Aptos Narrow"/>
              </a:rPr>
              <a:pPr algn="ctr"/>
              <a:t>154</a:t>
            </a:fld>
            <a:endParaRPr lang="tr-TR" sz="2800" b="1">
              <a:solidFill>
                <a:schemeClr val="bg1"/>
              </a:solidFill>
            </a:endParaRPr>
          </a:p>
        </xdr:txBody>
      </xdr:sp>
      <xdr:sp macro="" textlink="">
        <xdr:nvSpPr>
          <xdr:cNvPr id="14" name="Metin kutusu 13">
            <a:extLst>
              <a:ext uri="{FF2B5EF4-FFF2-40B4-BE49-F238E27FC236}">
                <a16:creationId xmlns:a16="http://schemas.microsoft.com/office/drawing/2014/main" id="{F2B64B61-1691-CA83-62C2-A6BB8E4DEC3E}"/>
              </a:ext>
            </a:extLst>
          </xdr:cNvPr>
          <xdr:cNvSpPr txBox="1"/>
        </xdr:nvSpPr>
        <xdr:spPr>
          <a:xfrm>
            <a:off x="247650" y="2705100"/>
            <a:ext cx="209550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tr-TR" sz="1100" b="1">
                <a:solidFill>
                  <a:schemeClr val="accent6">
                    <a:lumMod val="20000"/>
                    <a:lumOff val="80000"/>
                  </a:schemeClr>
                </a:solidFill>
              </a:rPr>
              <a:t>VİDEO SAYISI</a:t>
            </a:r>
          </a:p>
        </xdr:txBody>
      </xdr:sp>
    </xdr:grpSp>
    <xdr:clientData/>
  </xdr:twoCellAnchor>
  <xdr:twoCellAnchor>
    <xdr:from>
      <xdr:col>2</xdr:col>
      <xdr:colOff>138112</xdr:colOff>
      <xdr:row>13</xdr:row>
      <xdr:rowOff>38100</xdr:rowOff>
    </xdr:from>
    <xdr:to>
      <xdr:col>5</xdr:col>
      <xdr:colOff>566737</xdr:colOff>
      <xdr:row>18</xdr:row>
      <xdr:rowOff>0</xdr:rowOff>
    </xdr:to>
    <xdr:grpSp>
      <xdr:nvGrpSpPr>
        <xdr:cNvPr id="16" name="Grup 15">
          <a:extLst>
            <a:ext uri="{FF2B5EF4-FFF2-40B4-BE49-F238E27FC236}">
              <a16:creationId xmlns:a16="http://schemas.microsoft.com/office/drawing/2014/main" id="{63418E42-E994-4B6A-9360-6332010FDE41}"/>
            </a:ext>
          </a:extLst>
        </xdr:cNvPr>
        <xdr:cNvGrpSpPr/>
      </xdr:nvGrpSpPr>
      <xdr:grpSpPr>
        <a:xfrm>
          <a:off x="2624137" y="2514600"/>
          <a:ext cx="2257425" cy="914400"/>
          <a:chOff x="171450" y="2667000"/>
          <a:chExt cx="2257425" cy="914400"/>
        </a:xfrm>
      </xdr:grpSpPr>
      <xdr:sp macro="" textlink="Analiz!$F$32">
        <xdr:nvSpPr>
          <xdr:cNvPr id="17" name="Dikdörtgen: Köşeleri Yuvarlatılmış 16">
            <a:extLst>
              <a:ext uri="{FF2B5EF4-FFF2-40B4-BE49-F238E27FC236}">
                <a16:creationId xmlns:a16="http://schemas.microsoft.com/office/drawing/2014/main" id="{A727DCA8-325C-2505-1F7E-925BA487C9D5}"/>
              </a:ext>
            </a:extLst>
          </xdr:cNvPr>
          <xdr:cNvSpPr/>
        </xdr:nvSpPr>
        <xdr:spPr>
          <a:xfrm>
            <a:off x="171450" y="2667000"/>
            <a:ext cx="2257425" cy="914400"/>
          </a:xfrm>
          <a:prstGeom prst="roundRect">
            <a:avLst/>
          </a:prstGeom>
          <a:solidFill>
            <a:srgbClr val="1B433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FCA9FE7D-E9C0-4791-AAB4-A1D25A9AFE58}" type="TxLink">
              <a:rPr lang="en-US" sz="2800" b="1" i="0" u="none" strike="noStrike">
                <a:solidFill>
                  <a:schemeClr val="bg1"/>
                </a:solidFill>
                <a:latin typeface="Aptos Narrow"/>
              </a:rPr>
              <a:t>35,6 M</a:t>
            </a:fld>
            <a:endParaRPr lang="tr-TR" sz="2800" b="1">
              <a:solidFill>
                <a:schemeClr val="bg1"/>
              </a:solidFill>
            </a:endParaRPr>
          </a:p>
        </xdr:txBody>
      </xdr:sp>
      <xdr:sp macro="" textlink="">
        <xdr:nvSpPr>
          <xdr:cNvPr id="18" name="GÖRÜNTÜLEME">
            <a:extLst>
              <a:ext uri="{FF2B5EF4-FFF2-40B4-BE49-F238E27FC236}">
                <a16:creationId xmlns:a16="http://schemas.microsoft.com/office/drawing/2014/main" id="{502E2759-D401-19D3-EC6C-EDF129871D55}"/>
              </a:ext>
            </a:extLst>
          </xdr:cNvPr>
          <xdr:cNvSpPr txBox="1"/>
        </xdr:nvSpPr>
        <xdr:spPr>
          <a:xfrm>
            <a:off x="247650" y="2705100"/>
            <a:ext cx="209550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tr-TR" sz="1100" b="1">
                <a:solidFill>
                  <a:schemeClr val="accent6">
                    <a:lumMod val="20000"/>
                    <a:lumOff val="80000"/>
                  </a:schemeClr>
                </a:solidFill>
              </a:rPr>
              <a:t>GÖRÜNTÜLEME</a:t>
            </a:r>
          </a:p>
        </xdr:txBody>
      </xdr:sp>
    </xdr:grpSp>
    <xdr:clientData/>
  </xdr:twoCellAnchor>
  <xdr:twoCellAnchor>
    <xdr:from>
      <xdr:col>6</xdr:col>
      <xdr:colOff>152399</xdr:colOff>
      <xdr:row>13</xdr:row>
      <xdr:rowOff>38100</xdr:rowOff>
    </xdr:from>
    <xdr:to>
      <xdr:col>9</xdr:col>
      <xdr:colOff>581024</xdr:colOff>
      <xdr:row>18</xdr:row>
      <xdr:rowOff>0</xdr:rowOff>
    </xdr:to>
    <xdr:grpSp>
      <xdr:nvGrpSpPr>
        <xdr:cNvPr id="19" name="Grup 18">
          <a:extLst>
            <a:ext uri="{FF2B5EF4-FFF2-40B4-BE49-F238E27FC236}">
              <a16:creationId xmlns:a16="http://schemas.microsoft.com/office/drawing/2014/main" id="{07619755-748E-BBFE-7B02-B9CA6A9C0CDC}"/>
            </a:ext>
          </a:extLst>
        </xdr:cNvPr>
        <xdr:cNvGrpSpPr/>
      </xdr:nvGrpSpPr>
      <xdr:grpSpPr>
        <a:xfrm>
          <a:off x="5076824" y="2514600"/>
          <a:ext cx="2257425" cy="914400"/>
          <a:chOff x="171450" y="2667000"/>
          <a:chExt cx="2257425" cy="914400"/>
        </a:xfrm>
      </xdr:grpSpPr>
      <xdr:sp macro="" textlink="Analiz!$F$33">
        <xdr:nvSpPr>
          <xdr:cNvPr id="20" name="Dikdörtgen: Köşeleri Yuvarlatılmış 19">
            <a:extLst>
              <a:ext uri="{FF2B5EF4-FFF2-40B4-BE49-F238E27FC236}">
                <a16:creationId xmlns:a16="http://schemas.microsoft.com/office/drawing/2014/main" id="{D72CEBC4-9AA9-A356-22BA-F24930DA3EEB}"/>
              </a:ext>
            </a:extLst>
          </xdr:cNvPr>
          <xdr:cNvSpPr/>
        </xdr:nvSpPr>
        <xdr:spPr>
          <a:xfrm>
            <a:off x="171450" y="2667000"/>
            <a:ext cx="2257425" cy="914400"/>
          </a:xfrm>
          <a:prstGeom prst="roundRect">
            <a:avLst/>
          </a:prstGeom>
          <a:solidFill>
            <a:srgbClr val="1B433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9CC2A813-ED6E-45C2-B228-601A13A66C33}" type="TxLink">
              <a:rPr lang="en-US" sz="2800" b="1" i="0" u="none" strike="noStrike">
                <a:solidFill>
                  <a:schemeClr val="bg1"/>
                </a:solidFill>
                <a:latin typeface="Aptos Narrow"/>
              </a:rPr>
              <a:t>100.810</a:t>
            </a:fld>
            <a:endParaRPr lang="tr-TR" sz="2800" b="1">
              <a:solidFill>
                <a:schemeClr val="bg1"/>
              </a:solidFill>
            </a:endParaRPr>
          </a:p>
        </xdr:txBody>
      </xdr:sp>
      <xdr:sp macro="" textlink="">
        <xdr:nvSpPr>
          <xdr:cNvPr id="21" name="Metin kutusu 20">
            <a:extLst>
              <a:ext uri="{FF2B5EF4-FFF2-40B4-BE49-F238E27FC236}">
                <a16:creationId xmlns:a16="http://schemas.microsoft.com/office/drawing/2014/main" id="{30D1DFF5-7D8F-8D00-012E-DFD70CC69BC3}"/>
              </a:ext>
            </a:extLst>
          </xdr:cNvPr>
          <xdr:cNvSpPr txBox="1"/>
        </xdr:nvSpPr>
        <xdr:spPr>
          <a:xfrm>
            <a:off x="247650" y="2705100"/>
            <a:ext cx="209550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tr-TR" sz="1100" b="1">
                <a:solidFill>
                  <a:schemeClr val="accent6">
                    <a:lumMod val="20000"/>
                    <a:lumOff val="80000"/>
                  </a:schemeClr>
                </a:solidFill>
              </a:rPr>
              <a:t>İZLENME (SAAT)</a:t>
            </a:r>
          </a:p>
        </xdr:txBody>
      </xdr:sp>
    </xdr:grpSp>
    <xdr:clientData/>
  </xdr:twoCellAnchor>
  <xdr:twoCellAnchor>
    <xdr:from>
      <xdr:col>10</xdr:col>
      <xdr:colOff>166686</xdr:colOff>
      <xdr:row>13</xdr:row>
      <xdr:rowOff>38100</xdr:rowOff>
    </xdr:from>
    <xdr:to>
      <xdr:col>13</xdr:col>
      <xdr:colOff>595311</xdr:colOff>
      <xdr:row>18</xdr:row>
      <xdr:rowOff>0</xdr:rowOff>
    </xdr:to>
    <xdr:grpSp>
      <xdr:nvGrpSpPr>
        <xdr:cNvPr id="22" name="Grup 21">
          <a:extLst>
            <a:ext uri="{FF2B5EF4-FFF2-40B4-BE49-F238E27FC236}">
              <a16:creationId xmlns:a16="http://schemas.microsoft.com/office/drawing/2014/main" id="{B908D055-75E1-0CA3-20DC-D087C5ADA46D}"/>
            </a:ext>
          </a:extLst>
        </xdr:cNvPr>
        <xdr:cNvGrpSpPr/>
      </xdr:nvGrpSpPr>
      <xdr:grpSpPr>
        <a:xfrm>
          <a:off x="7529511" y="2514600"/>
          <a:ext cx="2257425" cy="914400"/>
          <a:chOff x="171450" y="2667000"/>
          <a:chExt cx="2257425" cy="914400"/>
        </a:xfrm>
      </xdr:grpSpPr>
      <xdr:sp macro="" textlink="Analiz!$F$34">
        <xdr:nvSpPr>
          <xdr:cNvPr id="23" name="Dikdörtgen: Köşeleri Yuvarlatılmış 22">
            <a:extLst>
              <a:ext uri="{FF2B5EF4-FFF2-40B4-BE49-F238E27FC236}">
                <a16:creationId xmlns:a16="http://schemas.microsoft.com/office/drawing/2014/main" id="{7EC89315-8BC9-342D-7FAF-0A902932F416}"/>
              </a:ext>
            </a:extLst>
          </xdr:cNvPr>
          <xdr:cNvSpPr/>
        </xdr:nvSpPr>
        <xdr:spPr>
          <a:xfrm>
            <a:off x="171450" y="2667000"/>
            <a:ext cx="2257425" cy="914400"/>
          </a:xfrm>
          <a:prstGeom prst="roundRect">
            <a:avLst/>
          </a:prstGeom>
          <a:solidFill>
            <a:srgbClr val="1B433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31B5D737-CAD8-4C0F-93F7-7CEA9CFD5E33}" type="TxLink">
              <a:rPr lang="en-US" sz="2800" b="1" i="0" u="none" strike="noStrike">
                <a:solidFill>
                  <a:schemeClr val="bg1"/>
                </a:solidFill>
                <a:latin typeface="Aptos Narrow"/>
              </a:rPr>
              <a:t>%94,1</a:t>
            </a:fld>
            <a:endParaRPr lang="tr-TR" sz="2800" b="1">
              <a:solidFill>
                <a:schemeClr val="bg1"/>
              </a:solidFill>
            </a:endParaRPr>
          </a:p>
        </xdr:txBody>
      </xdr:sp>
      <xdr:sp macro="" textlink="">
        <xdr:nvSpPr>
          <xdr:cNvPr id="24" name="Metin kutusu 23">
            <a:extLst>
              <a:ext uri="{FF2B5EF4-FFF2-40B4-BE49-F238E27FC236}">
                <a16:creationId xmlns:a16="http://schemas.microsoft.com/office/drawing/2014/main" id="{AC8C6622-A29D-76F3-7C80-BEF05DFB6E06}"/>
              </a:ext>
            </a:extLst>
          </xdr:cNvPr>
          <xdr:cNvSpPr txBox="1"/>
        </xdr:nvSpPr>
        <xdr:spPr>
          <a:xfrm>
            <a:off x="247650" y="2705100"/>
            <a:ext cx="209550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tr-TR" sz="1100" b="1">
                <a:solidFill>
                  <a:schemeClr val="accent6">
                    <a:lumMod val="20000"/>
                    <a:lumOff val="80000"/>
                  </a:schemeClr>
                </a:solidFill>
              </a:rPr>
              <a:t>ORT. İZLENME %</a:t>
            </a:r>
          </a:p>
        </xdr:txBody>
      </xdr:sp>
    </xdr:grpSp>
    <xdr:clientData/>
  </xdr:twoCellAnchor>
  <xdr:twoCellAnchor>
    <xdr:from>
      <xdr:col>14</xdr:col>
      <xdr:colOff>180975</xdr:colOff>
      <xdr:row>13</xdr:row>
      <xdr:rowOff>38100</xdr:rowOff>
    </xdr:from>
    <xdr:to>
      <xdr:col>18</xdr:col>
      <xdr:colOff>0</xdr:colOff>
      <xdr:row>18</xdr:row>
      <xdr:rowOff>0</xdr:rowOff>
    </xdr:to>
    <xdr:grpSp>
      <xdr:nvGrpSpPr>
        <xdr:cNvPr id="25" name="Grup 24">
          <a:extLst>
            <a:ext uri="{FF2B5EF4-FFF2-40B4-BE49-F238E27FC236}">
              <a16:creationId xmlns:a16="http://schemas.microsoft.com/office/drawing/2014/main" id="{AADAF753-ADC0-EF7A-1AD7-E6398114EF25}"/>
            </a:ext>
          </a:extLst>
        </xdr:cNvPr>
        <xdr:cNvGrpSpPr/>
      </xdr:nvGrpSpPr>
      <xdr:grpSpPr>
        <a:xfrm>
          <a:off x="9982200" y="2514600"/>
          <a:ext cx="2257425" cy="914400"/>
          <a:chOff x="171450" y="2667000"/>
          <a:chExt cx="2257425" cy="914400"/>
        </a:xfrm>
      </xdr:grpSpPr>
      <xdr:sp macro="" textlink="Analiz!$F$35">
        <xdr:nvSpPr>
          <xdr:cNvPr id="26" name="Dikdörtgen: Köşeleri Yuvarlatılmış 25">
            <a:extLst>
              <a:ext uri="{FF2B5EF4-FFF2-40B4-BE49-F238E27FC236}">
                <a16:creationId xmlns:a16="http://schemas.microsoft.com/office/drawing/2014/main" id="{4420334F-7969-C867-FCBC-7895CC422498}"/>
              </a:ext>
            </a:extLst>
          </xdr:cNvPr>
          <xdr:cNvSpPr/>
        </xdr:nvSpPr>
        <xdr:spPr>
          <a:xfrm>
            <a:off x="171450" y="2667000"/>
            <a:ext cx="2257425" cy="914400"/>
          </a:xfrm>
          <a:prstGeom prst="roundRect">
            <a:avLst/>
          </a:prstGeom>
          <a:solidFill>
            <a:srgbClr val="1B433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1AE5276C-F023-405B-81CC-634AEE6F7462}" type="TxLink">
              <a:rPr lang="en-US" sz="2800" b="1" i="0" u="none" strike="noStrike">
                <a:solidFill>
                  <a:schemeClr val="bg1"/>
                </a:solidFill>
                <a:latin typeface="Aptos Narrow"/>
              </a:rPr>
              <a:t>39.378</a:t>
            </a:fld>
            <a:endParaRPr lang="tr-TR" sz="2800" b="1">
              <a:solidFill>
                <a:schemeClr val="bg1"/>
              </a:solidFill>
            </a:endParaRPr>
          </a:p>
        </xdr:txBody>
      </xdr:sp>
      <xdr:sp macro="" textlink="">
        <xdr:nvSpPr>
          <xdr:cNvPr id="27" name="Metin kutusu 26">
            <a:extLst>
              <a:ext uri="{FF2B5EF4-FFF2-40B4-BE49-F238E27FC236}">
                <a16:creationId xmlns:a16="http://schemas.microsoft.com/office/drawing/2014/main" id="{33829554-3539-6C43-83CA-A75A801E7D12}"/>
              </a:ext>
            </a:extLst>
          </xdr:cNvPr>
          <xdr:cNvSpPr txBox="1"/>
        </xdr:nvSpPr>
        <xdr:spPr>
          <a:xfrm>
            <a:off x="247650" y="2705100"/>
            <a:ext cx="209550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tr-TR" sz="1100" b="1">
                <a:solidFill>
                  <a:schemeClr val="accent6">
                    <a:lumMod val="20000"/>
                    <a:lumOff val="80000"/>
                  </a:schemeClr>
                </a:solidFill>
              </a:rPr>
              <a:t>ABONE</a:t>
            </a:r>
          </a:p>
        </xdr:txBody>
      </xdr:sp>
    </xdr:grpSp>
    <xdr:clientData/>
  </xdr:twoCellAnchor>
  <xdr:twoCellAnchor>
    <xdr:from>
      <xdr:col>6</xdr:col>
      <xdr:colOff>0</xdr:colOff>
      <xdr:row>19</xdr:row>
      <xdr:rowOff>190499</xdr:rowOff>
    </xdr:from>
    <xdr:to>
      <xdr:col>18</xdr:col>
      <xdr:colOff>0</xdr:colOff>
      <xdr:row>35</xdr:row>
      <xdr:rowOff>47624</xdr:rowOff>
    </xdr:to>
    <xdr:graphicFrame macro="">
      <xdr:nvGraphicFramePr>
        <xdr:cNvPr id="29" name="Grafik 28">
          <a:extLst>
            <a:ext uri="{FF2B5EF4-FFF2-40B4-BE49-F238E27FC236}">
              <a16:creationId xmlns:a16="http://schemas.microsoft.com/office/drawing/2014/main" id="{D2C2591B-9854-4F23-8171-3413C18AE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28575</xdr:colOff>
      <xdr:row>0</xdr:row>
      <xdr:rowOff>180975</xdr:rowOff>
    </xdr:from>
    <xdr:to>
      <xdr:col>10</xdr:col>
      <xdr:colOff>486151</xdr:colOff>
      <xdr:row>5</xdr:row>
      <xdr:rowOff>164475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0" name="Video">
              <a:extLst>
                <a:ext uri="{FF2B5EF4-FFF2-40B4-BE49-F238E27FC236}">
                  <a16:creationId xmlns:a16="http://schemas.microsoft.com/office/drawing/2014/main" id="{9D342CDB-5B30-406C-8077-8F33BCC7F6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ide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43400" y="180975"/>
              <a:ext cx="3505576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571500</xdr:colOff>
      <xdr:row>1</xdr:row>
      <xdr:rowOff>0</xdr:rowOff>
    </xdr:from>
    <xdr:to>
      <xdr:col>4</xdr:col>
      <xdr:colOff>436425</xdr:colOff>
      <xdr:row>5</xdr:row>
      <xdr:rowOff>174000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1" name="Video Türü">
              <a:extLst>
                <a:ext uri="{FF2B5EF4-FFF2-40B4-BE49-F238E27FC236}">
                  <a16:creationId xmlns:a16="http://schemas.microsoft.com/office/drawing/2014/main" id="{F1EE7DC0-A203-40AB-82F1-1F14022717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ideo Türü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0" y="190500"/>
              <a:ext cx="357015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35</xdr:row>
      <xdr:rowOff>104775</xdr:rowOff>
    </xdr:from>
    <xdr:to>
      <xdr:col>8</xdr:col>
      <xdr:colOff>194475</xdr:colOff>
      <xdr:row>42</xdr:row>
      <xdr:rowOff>142875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3" name="Tarih">
              <a:extLst>
                <a:ext uri="{FF2B5EF4-FFF2-40B4-BE49-F238E27FC236}">
                  <a16:creationId xmlns:a16="http://schemas.microsoft.com/office/drawing/2014/main" id="{450C3F7C-93DD-44C8-97F5-01264E07F7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Tari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6772275"/>
              <a:ext cx="63000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Zaman Çizelgesi: Excel 2013 veya daha sonraki sürümlerde çalışır. Taşımayın veya yeniden boyutlandırmayın.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43</xdr:row>
      <xdr:rowOff>0</xdr:rowOff>
    </xdr:from>
    <xdr:to>
      <xdr:col>17</xdr:col>
      <xdr:colOff>609599</xdr:colOff>
      <xdr:row>57</xdr:row>
      <xdr:rowOff>76200</xdr:rowOff>
    </xdr:to>
    <xdr:graphicFrame macro="">
      <xdr:nvGraphicFramePr>
        <xdr:cNvPr id="34" name="Grafik 33">
          <a:extLst>
            <a:ext uri="{FF2B5EF4-FFF2-40B4-BE49-F238E27FC236}">
              <a16:creationId xmlns:a16="http://schemas.microsoft.com/office/drawing/2014/main" id="{C752EFCB-AFFF-4169-B11A-6F16FFFC0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95.592694675928" createdVersion="8" refreshedVersion="8" minRefreshableVersion="3" recordCount="154" xr:uid="{EA3376FB-48A7-4C50-9994-E7C816A1D59E}">
  <cacheSource type="worksheet">
    <worksheetSource name="İçerik"/>
  </cacheSource>
  <cacheFields count="23">
    <cacheField name="Video-ID" numFmtId="0">
      <sharedItems/>
    </cacheField>
    <cacheField name="Video başlığı" numFmtId="0">
      <sharedItems count="149">
        <s v="Cat and Her Family Rescued !"/>
        <s v="Top 5 Jealous Cat Moments !"/>
        <s v="Love Of Cats ❤️ #cats #romanticcats"/>
        <s v="Top 5 Aura Cat Moments !? #rankingcats #auracats"/>
        <s v="POV: Cat Reactions To Shower #funnycats #catshorts"/>
        <s v="This Cat Will LICK You"/>
        <s v="Top 5 Dancing Cat Moments"/>
        <s v="This Cats Can’t Stop DANCING to the Beat!"/>
        <s v="Cats Make Absolute Chaos!"/>
        <s v="Why Are Cats So Strange Sometimes?"/>
        <s v="You Wont Believe This!?"/>
        <s v="Cats React to Smelly Socks!"/>
        <s v="Cats Are Not Beautiful!"/>
        <s v="Cats Are Not Fighters?"/>
        <s v="Girl vs Boy Cats!"/>
        <s v="Cats Of Different Nationalities!"/>
        <s v="Cats Are Not Angry, They Are Just Cute!"/>
        <s v="Cats Cant Drift!"/>
        <s v="Cats Have No Reflexes!"/>
        <s v="Cats Are Useless!"/>
        <s v="Cats Are Not Protective!"/>
        <s v="Cats Are Hearthless!"/>
        <s v="Cats Are Not Scary!"/>
        <s v="Cats Are The Worst Pets!"/>
        <s v="Cats Are Not Synchronized!"/>
        <s v="Cats Are Not Racist!"/>
        <s v="Cats Are Cowards!"/>
        <s v="Orange Cats Are Boring!"/>
        <s v="Cats Cant Get High!"/>
        <s v="Cats Are Weak!"/>
        <s v="Cats Cant Dance!"/>
        <s v="Cats Break Everything!"/>
        <s v="Cats Are Not Fun?"/>
        <s v="Cats vs Dogs!"/>
        <s v="Cats Love Vet"/>
        <s v="Cats Cant Mew!"/>
        <s v="Who is More Useful, Cats or Dogs?"/>
        <s v="Cats Are Dumb!"/>
        <s v="Cats Are So Random!"/>
        <s v="Cats Are Broken!"/>
        <s v="Cats Are The Best Comforters!"/>
        <s v="Cats vs Dogs Final Battle!"/>
        <s v="Cats Cant Use Snapchat Filters"/>
        <s v="Cats LOVE Food!"/>
        <s v="Cats But They Get Naughtier!"/>
        <s v="Cats Are Afraid Of All Animals!"/>
        <s v="Cats Cant TALK?"/>
        <s v="Cats Make No Sense!"/>
        <s v="Cats Reacting To Magic!"/>
        <s v="Cats Are Not Dramatic!"/>
        <s v="Cats Have Bad Reflexes!"/>
        <s v="Cats Cant Play CATCH!"/>
        <s v="Cats Have No Attitude!"/>
        <s v="Feel Like A Monster! #skillet #catedit"/>
        <s v="Cats Can't Act!"/>
        <s v="Dogs Parkour vs Cats Parkour"/>
        <s v="Cats Can't Wear Halloween Costumes!"/>
        <s v="Cat's Can't Be Evil!"/>
        <s v="Eagle Hunting vs Cat Hunting!"/>
        <s v="Alligator vs Cat!"/>
        <s v="Cats Are The Best Hunters!"/>
        <s v="Cats vs Rabbits!"/>
        <s v="Coyote vs Cat!"/>
        <s v="Other Animals vs Cat Parkour!"/>
        <s v="Elephants And Cats Are Friends!"/>
        <s v="Cat vs Drone!"/>
        <s v="Cats Are Friends With Rhinos!"/>
        <s v="Polite Cat vs Hangry Cat!"/>
        <s v="Cats Love Bath!"/>
        <s v="Cats Are Stupid!"/>
        <s v="Cats Camouflage vs Other Animal Camouflage!"/>
        <s v="Cat Jumping vs Other Animal Jumping!"/>
        <s v="Eagle Is Strong But Not Against Cat!!"/>
        <s v="Who is the Best Night Hunter? Owl or Cat?"/>
        <s v="Dogs Attack Lonely Kitten But Mother Comes to Help!"/>
        <s v="Escape Master Cat!"/>
        <s v="Snake speed vs Cat Speed!!"/>
        <s v="Other Animals Jump vs Cats Jump!"/>
        <s v="Lion Attacks Everyone but Cat?"/>
        <s v="Cat Dont Work Hard Because He is SMART!!"/>
        <s v="Other Animals vs Cat on Cattle Grid!!"/>
        <s v="Cat Shows The Leopard Who Is The King!!"/>
        <s v="Robot Scares All Animals But Cat??"/>
        <s v="The Cat Shows The Lion Who's King!!"/>
        <s v="Other Animals Attack Humans, But Cat???"/>
        <s v="While Others Sleep… This Cat Trains!!"/>
        <s v="This Baby Mother Protected Her Babies From Coyote Attack!!!"/>
        <s v="How Cat Get A Fish!!"/>
        <s v="Turtle Speed vs Cat Speed!"/>
        <s v="Dogs Always Attack Kittens But Not This Kitten!!!"/>
        <s v="Cat vs Dog, Obstacle Challenge!!"/>
        <s v="Dogs Are Afraid Of Rat But Cats?"/>
        <s v="Eagle Hunt Every Animal Except Cat!!!"/>
        <s v="Chicken Gets Help From Cat Against Weasel!!!"/>
        <s v="Cat is The Best Jump Hunter!!!"/>
        <s v="Big Cat Tries Hunting Gazelle!"/>
        <s v="Cat is Not Afraid Of Horse!"/>
        <s v="Cat Mother is Different!"/>
        <s v="Cats Are Not Afraid Of Lions!"/>
        <s v="Squirrel Thinks He is Fast Until Cat Show Up!!"/>
        <s v="Cat Always Takes Revenge!"/>
        <s v="Dogs Fail Hunting Bear But Roes Cat Fail?"/>
        <s v="Cat vs Other Animal Camouflage!"/>
        <s v="Ranking Usefull Cat Moments!"/>
        <s v="Ranking Dumbest Cat Moments!"/>
        <s v="Ranking Scared Cat Moments!"/>
        <s v="Ranking Orance Cat Moments!"/>
        <s v="Ranking Veterinarian Cat Moments!"/>
        <s v="Ranking Cute Kitten Moments!"/>
        <s v="Ranking Weird Sleeping Cat Moments!"/>
        <s v="Ranking Cats Reacting to Magic!"/>
        <s v="Ranking Best Cat WWE Moments!"/>
        <s v="Ranking Cat Cosplay Moments!"/>
        <s v="Ranking Catnip Moments!"/>
        <s v="Ranking Cat Catch Fails #1"/>
        <s v="Ranking Ai Musical Cat Moments!"/>
        <s v="Ranking Black Cat Moments!"/>
        <s v="Top 5 Orange Cat Moments #2"/>
        <s v="Ranking Cats Playing Billard!"/>
        <s v="Ranking Cats Being Powerless!"/>
        <s v="Ranking Cats Knows English"/>
        <s v="Ranking Goofiest Cat Moments!"/>
        <s v="Ranking Watermelon Hat Cats!"/>
        <s v="Ranking Cat Snapchat Filter Moments!"/>
        <s v="Ranking Useful Cat Moments 2"/>
        <s v="Ranking Cats Understanding English Moments!"/>
        <s v="Ranking Dumbest Cat Moments 2"/>
        <s v="Ranking Orange Cat Moments 3"/>
        <s v="Ranking Veterinerian Cat Moments! 2"/>
        <s v="Ranking Cat WWE Moments 2!"/>
        <s v="Ranking Catnip Moments 2"/>
        <s v="Ranking Cats Playing Pool Moments!"/>
        <s v="Ranking Cats Using Snapchat Filter Moments 2!"/>
        <s v="Ranking Cats Reacting Magic Moments!"/>
        <s v="Ranking Black Cat Moments!!"/>
        <s v="Rankijg Musical Ai Cat Moments 2!"/>
        <s v="Ranking Cats Fails Catching Their Tail Moments!"/>
        <s v="Ranking Cats on Catnip Moments!"/>
        <s v="Ranking Unpredictable Cat Moments!"/>
        <s v="Ranking Cats vs Magic Videos!"/>
        <s v="Ranking Snapchat Effect On Cats!"/>
        <s v="Ranking Veterenarian Cat Moments!!!!!"/>
        <s v="Ranking Goofy Cat Moments 3!"/>
        <s v="Ranking Cats Playing Pool Moments!!!!"/>
        <s v="Ranking Weirdest Sleeping Cat Momentsss!"/>
        <s v="Ranking Catnip Cat Moments!"/>
        <s v="Ranking Scared Cat Moments!!!!!!"/>
        <s v="Ranking Cats Failing Catch Moments!"/>
        <s v="Ranking Cats Being Powerless Moments!"/>
      </sharedItems>
    </cacheField>
    <cacheField name="Videonun yayınlanma tarihi" numFmtId="14">
      <sharedItems containsSemiMixedTypes="0" containsNonDate="0" containsDate="1" containsString="0" minDate="2025-07-23T00:00:00" maxDate="2026-01-14T00:00:00" count="148"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3T00:00:00"/>
        <d v="2025-08-04T00:00:00"/>
        <d v="2025-08-12T00:00:00"/>
        <d v="2025-08-14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30T00:00:00"/>
        <d v="2025-10-01T00:00:00"/>
        <d v="2025-10-02T00:00:00"/>
        <d v="2025-10-04T00:00:00"/>
        <d v="2025-10-05T00:00:00"/>
        <d v="2025-10-06T00:00:00"/>
        <d v="2025-10-08T00:00:00"/>
        <d v="2025-10-09T00:00:00"/>
        <d v="2025-10-10T00:00:00"/>
        <d v="2025-10-11T00:00:00"/>
        <d v="2025-10-12T00:00:00"/>
        <d v="2025-10-13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</sharedItems>
    </cacheField>
    <cacheField name="Video süresi (sn)" numFmtId="0">
      <sharedItems containsSemiMixedTypes="0" containsString="0" containsNumber="1" containsInteger="1" minValue="9" maxValue="59"/>
    </cacheField>
    <cacheField name="Paylaşım" numFmtId="3">
      <sharedItems containsSemiMixedTypes="0" containsString="0" containsNumber="1" containsInteger="1" minValue="0" maxValue="7685"/>
    </cacheField>
    <cacheField name="Eklenen yorum sayısı" numFmtId="1">
      <sharedItems containsSemiMixedTypes="0" containsString="0" containsNumber="1" containsInteger="1" minValue="0" maxValue="897"/>
    </cacheField>
    <cacheField name="Beğenenler" numFmtId="164">
      <sharedItems containsSemiMixedTypes="0" containsString="0" containsNumber="1" containsInteger="1" minValue="14" maxValue="136208"/>
    </cacheField>
    <cacheField name="Ort. İzlenme (sn)" numFmtId="0">
      <sharedItems containsSemiMixedTypes="0" containsString="0" containsNumber="1" containsInteger="1" minValue="12" maxValue="43"/>
    </cacheField>
    <cacheField name="Ortalama görüntüleme yüzdesi (%)" numFmtId="167">
      <sharedItems containsSemiMixedTypes="0" containsString="0" containsNumber="1" minValue="0.34689999999999999" maxValue="1.4886999999999999"/>
    </cacheField>
    <cacheField name="Görüntüleme" numFmtId="164">
      <sharedItems containsSemiMixedTypes="0" containsString="0" containsNumber="1" containsInteger="1" minValue="960" maxValue="12066018"/>
    </cacheField>
    <cacheField name="İzlenme süresi (saat)" numFmtId="165">
      <sharedItems containsSemiMixedTypes="0" containsString="0" containsNumber="1" minValue="2.0903999999999998" maxValue="31168.413"/>
    </cacheField>
    <cacheField name="Aboneler" numFmtId="3">
      <sharedItems containsSemiMixedTypes="0" containsString="0" containsNumber="1" containsInteger="1" minValue="0" maxValue="24182"/>
    </cacheField>
    <cacheField name="Tahmini gelir (USD)" numFmtId="166">
      <sharedItems containsString="0" containsBlank="1" containsNumber="1" minValue="0" maxValue="1.464"/>
    </cacheField>
    <cacheField name="Küçük resim gösterimleri" numFmtId="3">
      <sharedItems containsSemiMixedTypes="0" containsString="0" containsNumber="1" containsInteger="1" minValue="575" maxValue="241376"/>
    </cacheField>
    <cacheField name="Küçük resim tıklama oranı (%)" numFmtId="10">
      <sharedItems containsSemiMixedTypes="0" containsString="0" containsNumber="1" minValue="8.6999999999999994E-3" maxValue="0.14910000000000001"/>
    </cacheField>
    <cacheField name="Tür" numFmtId="0">
      <sharedItems count="5">
        <s v="Diğer"/>
        <s v="Ranking"/>
        <s v="Compilation"/>
        <s v="Skull Edit"/>
        <s v="Votkak Edit"/>
      </sharedItems>
    </cacheField>
    <cacheField name="Yüzde_x_Goruntuleme" numFmtId="0">
      <sharedItems containsSemiMixedTypes="0" containsString="0" containsNumber="1" minValue="809.28" maxValue="11538733.0134"/>
    </cacheField>
    <cacheField name="Video_Sayisi" numFmtId="0">
      <sharedItems containsSemiMixedTypes="0" containsString="0" containsNumber="1" containsInteger="1" minValue="1" maxValue="1"/>
    </cacheField>
    <cacheField name="Video" numFmtId="0">
      <sharedItems count="154">
        <s v="Cat and Her Family Rescued ! (23.07.25)"/>
        <s v="Top 5 Jealous Cat Moments ! (24.07.25)"/>
        <s v="Love Of Cats ❤️ #cats #romanticcats (25.07.25)"/>
        <s v="Top 5 Aura Cat Moments !? #rankingcats #auracats (26.07.25)"/>
        <s v="POV: Cat Reactions To Shower #funnycats #catshorts (27.07.25)"/>
        <s v="This Cat Will LICK You (28.07.25)"/>
        <s v="Top 5 Dancing Cat Moments (29.07.25)"/>
        <s v="This Cats Can’t Stop DANCING to the Beat! (30.07.25)"/>
        <s v="Cats Make Absolute Chaos! (31.07.25)"/>
        <s v="Why Are Cats So Strange Sometimes? (03.08.25)"/>
        <s v="You Wont Believe This!? (04.08.25)"/>
        <s v="Cats React to Smelly Socks! (12.08.25)"/>
        <s v="Cats Are Not Beautiful! (14.08.25)"/>
        <s v="Cats Are Not Fighters? (16.08.25)"/>
        <s v="Girl vs Boy Cats! (17.08.25)"/>
        <s v="Cats Of Different Nationalities! (18.08.25)"/>
        <s v="Cats Are Not Angry, They Are Just Cute! (19.08.25)"/>
        <s v="Cats Cant Drift! (20.08.25)"/>
        <s v="Cats Have No Reflexes! (21.08.25)"/>
        <s v="Cats Are Useless! (22.08.25)"/>
        <s v="Cats Are Not Protective! (23.08.25)"/>
        <s v="Cats Are Hearthless! (24.08.25)"/>
        <s v="Cats Are Not Scary! (25.08.25)"/>
        <s v="Cats Are The Worst Pets! (26.08.25)"/>
        <s v="Cats Are Not Synchronized! (27.08.25)"/>
        <s v="Cats Are Not Racist! (28.08.25)"/>
        <s v="Cats Are Cowards! (29.08.25)"/>
        <s v="Orange Cats Are Boring! (30.08.25)"/>
        <s v="Cats Cant Get High! (31.08.25)"/>
        <s v="Cats Are Weak! (01.09.25)"/>
        <s v="Cats Cant Dance! (02.09.25)"/>
        <s v="Cats Break Everything! (03.09.25)"/>
        <s v="Cats Are Not Fun? (04.09.25)"/>
        <s v="Cats vs Dogs! (05.09.25)"/>
        <s v="Cats Love Vet (06.09.25)"/>
        <s v="Cats Cant Mew! (08.09.25)"/>
        <s v="Who is More Useful, Cats or Dogs? (09.09.25)"/>
        <s v="Cats Are Dumb! (10.09.25)"/>
        <s v="Cats Are So Random! (11.09.25)"/>
        <s v="Cats Are Broken! (12.09.25)"/>
        <s v="Cats Are The Best Comforters! (13.09.25)"/>
        <s v="Cats vs Dogs Final Battle! (14.09.25)"/>
        <s v="Cats Cant Use Snapchat Filters (15.09.25)"/>
        <s v="Cats LOVE Food! (16.09.25)"/>
        <s v="Cats But They Get Naughtier! (17.09.25)"/>
        <s v="Cats Are Afraid Of All Animals! (18.09.25)"/>
        <s v="Cats Cant TALK? (19.09.25)"/>
        <s v="Cats Make No Sense! (20.09.25)"/>
        <s v="Cats Reacting To Magic! (21.09.25)"/>
        <s v="Cats Are Not Dramatic! (22.09.25)"/>
        <s v="Cats Have Bad Reflexes! (23.09.25)"/>
        <s v="Cats Cant Play CATCH! (24.09.25)"/>
        <s v="Cats Have No Attitude! (25.09.25)"/>
        <s v="Feel Like A Monster! #skillet #catedit (26.09.25)"/>
        <s v="Cats Can't Act! (27.09.25)"/>
        <s v="Dogs Parkour vs Cats Parkour (30.09.25)"/>
        <s v="Cats Can't Wear Halloween Costumes! (01.10.25)"/>
        <s v="Cat's Can't Be Evil! (02.10.25)"/>
        <s v="Eagle Hunting vs Cat Hunting! (04.10.25)"/>
        <s v="Alligator vs Cat! (05.10.25)"/>
        <s v="Cats Are The Best Hunters! (06.10.25)"/>
        <s v="Cats vs Rabbits! (08.10.25)"/>
        <s v="Coyote vs Cat! (09.10.25)"/>
        <s v="Other Animals vs Cat Parkour! (10.10.25)"/>
        <s v="Elephants And Cats Are Friends! (11.10.25)"/>
        <s v="Cat vs Drone! (12.10.25)"/>
        <s v="Cats Are Friends With Rhinos! (13.10.25)"/>
        <s v="Polite Cat vs Hangry Cat! (22.10.25)"/>
        <s v="Cats Love Bath! (23.10.25)"/>
        <s v="Cats Are Stupid! (24.10.25)"/>
        <s v="Cats Camouflage vs Other Animal Camouflage! (25.10.25)"/>
        <s v="Cat Jumping vs Other Animal Jumping! (26.10.25)"/>
        <s v="Eagle Is Strong But Not Against Cat!! (27.10.25)"/>
        <s v="Who is the Best Night Hunter? Owl or Cat? (28.10.25)"/>
        <s v="Dogs Attack Lonely Kitten But Mother Comes to Help! (29.10.25)"/>
        <s v="Escape Master Cat! (30.10.25)"/>
        <s v="Snake speed vs Cat Speed!! (31.10.25)"/>
        <s v="Other Animals Jump vs Cats Jump! (01.11.25)"/>
        <s v="Lion Attacks Everyone but Cat? (02.11.25)"/>
        <s v="Cat Dont Work Hard Because He is SMART!! (03.11.25)"/>
        <s v="Other Animals vs Cat on Cattle Grid!! (04.11.25)"/>
        <s v="Cat Shows The Leopard Who Is The King!! (05.11.25)"/>
        <s v="Robot Scares All Animals But Cat?? (05.11.25)"/>
        <s v="The Cat Shows The Lion Who's King!! (06.11.25)"/>
        <s v="Other Animals Attack Humans, But Cat??? (06.11.25)"/>
        <s v="While Others Sleep… This Cat Trains!! (07.11.25)"/>
        <s v="This Baby Mother Protected Her Babies From Coyote Attack!!! (07.11.25)"/>
        <s v="How Cat Get A Fish!! (08.11.25)"/>
        <s v="Turtle Speed vs Cat Speed! (08.11.25)"/>
        <s v="Dogs Always Attack Kittens But Not This Kitten!!! (09.11.25)"/>
        <s v="Cat vs Dog, Obstacle Challenge!! (10.11.25)"/>
        <s v="Dogs Are Afraid Of Rat But Cats? (10.11.25)"/>
        <s v="Eagle Hunt Every Animal Except Cat!!! (10.11.25)"/>
        <s v="Chicken Gets Help From Cat Against Weasel!!! (11.11.25)"/>
        <s v="Cat is The Best Jump Hunter!!! (12.11.25)"/>
        <s v="Big Cat Tries Hunting Gazelle! (13.11.25)"/>
        <s v="Cat is Not Afraid Of Horse! (14.11.25)"/>
        <s v="Cat Mother is Different! (15.11.25)"/>
        <s v="Cats Are Not Afraid Of Lions! (16.11.25)"/>
        <s v="Squirrel Thinks He is Fast Until Cat Show Up!! (17.11.25)"/>
        <s v="Cat Always Takes Revenge! (18.11.25)"/>
        <s v="Dogs Fail Hunting Bear But Roes Cat Fail? (19.11.25)"/>
        <s v="Cat vs Other Animal Camouflage! (20.11.25)"/>
        <s v="Ranking Usefull Cat Moments! (21.11.25)"/>
        <s v="Ranking Dumbest Cat Moments! (22.11.25)"/>
        <s v="Ranking Scared Cat Moments! (23.11.25)"/>
        <s v="Ranking Orance Cat Moments! (24.11.25)"/>
        <s v="Ranking Veterinarian Cat Moments! (25.11.25)"/>
        <s v="Ranking Cute Kitten Moments! (26.11.25)"/>
        <s v="Ranking Weird Sleeping Cat Moments! (27.11.25)"/>
        <s v="Ranking Cats Reacting to Magic! (28.11.25)"/>
        <s v="Ranking Best Cat WWE Moments! (29.11.25)"/>
        <s v="Ranking Cat Cosplay Moments! (30.11.25)"/>
        <s v="Ranking Catnip Moments! (02.12.25)"/>
        <s v="Ranking Cat Catch Fails #1 (03.12.25)"/>
        <s v="Ranking Ai Musical Cat Moments! (04.12.25)"/>
        <s v="Ranking Black Cat Moments! (05.12.25)"/>
        <s v="Top 5 Orange Cat Moments #2 (06.12.25)"/>
        <s v="Ranking Cats Playing Billard! (07.12.25)"/>
        <s v="Ranking Weird Sleeping Cat Moments! (08.12.25)"/>
        <s v="Ranking Cats Being Powerless! (09.12.25)"/>
        <s v="Ranking Cats Knows English (10.12.25)"/>
        <s v="Ranking Scared Cat Moments! (11.12.25)"/>
        <s v="Ranking Goofiest Cat Moments! (12.12.25)"/>
        <s v="Ranking Watermelon Hat Cats! (13.12.25)"/>
        <s v="Ranking Cat Snapchat Filter Moments! (14.12.25)"/>
        <s v="Ranking Useful Cat Moments 2 (15.12.25)"/>
        <s v="Ranking Cats Understanding English Moments! (16.12.25)"/>
        <s v="Ranking Dumbest Cat Moments 2 (17.12.25)"/>
        <s v="Ranking Orange Cat Moments 3 (18.12.25)"/>
        <s v="Ranking Veterinerian Cat Moments! 2 (19.12.25)"/>
        <s v="Ranking Cat WWE Moments 2! (20.12.25)"/>
        <s v="Ranking Catnip Moments 2 (21.12.25)"/>
        <s v="Ranking Goofiest Cat Moments! (22.12.25)"/>
        <s v="Ranking Cats Playing Pool Moments! (24.12.25)"/>
        <s v="Ranking Cats Using Snapchat Filter Moments 2! (25.12.25)"/>
        <s v="Ranking Cats Reacting Magic Moments! (26.12.25)"/>
        <s v="Ranking Black Cat Moments!! (27.12.25)"/>
        <s v="Rankijg Musical Ai Cat Moments 2! (28.12.25)"/>
        <s v="Ranking Cute Kitten Moments! (29.12.25)"/>
        <s v="Ranking Cats Fails Catching Their Tail Moments! (30.12.25)"/>
        <s v="Ranking Cats on Catnip Moments! (31.12.25)"/>
        <s v="Ranking Unpredictable Cat Moments! (01.01.26)"/>
        <s v="Ranking Cats vs Magic Videos! (02.01.26)"/>
        <s v="Ranking Snapchat Effect On Cats! (03.01.26)"/>
        <s v="Ranking Cats Being Powerless! (04.01.26)"/>
        <s v="Ranking Veterenarian Cat Moments!!!!! (06.01.26)"/>
        <s v="Ranking Goofy Cat Moments 3! (07.01.26)"/>
        <s v="Ranking Cats Playing Pool Moments!!!! (08.01.26)"/>
        <s v="Ranking Weirdest Sleeping Cat Momentsss! (09.01.26)"/>
        <s v="Ranking Catnip Cat Moments! (10.01.26)"/>
        <s v="Ranking Scared Cat Moments!!!!!! (11.01.26)"/>
        <s v="Ranking Cats Failing Catch Moments! (12.01.26)"/>
        <s v="Ranking Cats Being Powerless Moments! (13.01.26)"/>
      </sharedItems>
    </cacheField>
    <cacheField name="Ağırlıklı Ort. Yüzde" numFmtId="0" formula="Yüzde_x_Goruntuleme/Görüntüleme" databaseField="0"/>
    <cacheField name="Etkileşim Oranı" numFmtId="0" formula="(Beğenenler+'Eklenen yorum sayısı'+Paylaşım)/Görüntüleme" databaseField="0"/>
    <cacheField name="Abone per 1000 Görüntüleme" numFmtId="0" formula="Aboneler/Görüntüleme*1000" databaseField="0"/>
    <cacheField name="Video Başına Görüntüleme" numFmtId="0" formula="Görüntüleme/Video_Sayisi" databaseField="0"/>
  </cacheFields>
  <extLst>
    <ext xmlns:x14="http://schemas.microsoft.com/office/spreadsheetml/2009/9/main" uri="{725AE2AE-9491-48be-B2B4-4EB974FC3084}">
      <x14:pivotCacheDefinition pivotCacheId="519118694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95.733632870368" createdVersion="8" refreshedVersion="8" minRefreshableVersion="3" recordCount="433" xr:uid="{22992945-AA64-41EC-A803-3D53DDE3F60B}">
  <cacheSource type="worksheet">
    <worksheetSource name="Kanal_Günlük"/>
  </cacheSource>
  <cacheFields count="12">
    <cacheField name="Tarih" numFmtId="14">
      <sharedItems containsSemiMixedTypes="0" containsNonDate="0" containsDate="1" containsString="0" minDate="2025-07-23T00:00:00" maxDate="2026-09-29T00:00:00" count="433"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</sharedItems>
      <fieldGroup par="11"/>
    </cacheField>
    <cacheField name="Paylaşım" numFmtId="3">
      <sharedItems containsSemiMixedTypes="0" containsString="0" containsNumber="1" containsInteger="1" minValue="0" maxValue="557"/>
    </cacheField>
    <cacheField name="Eklenen yorum sayısı" numFmtId="3">
      <sharedItems containsString="0" containsBlank="1" containsNumber="1" containsInteger="1" minValue="0" maxValue="50"/>
    </cacheField>
    <cacheField name="Beğenenler" numFmtId="3">
      <sharedItems containsSemiMixedTypes="0" containsString="0" containsNumber="1" containsInteger="1" minValue="-189" maxValue="22926"/>
    </cacheField>
    <cacheField name="Aboneler" numFmtId="3">
      <sharedItems containsSemiMixedTypes="0" containsString="0" containsNumber="1" containsInteger="1" minValue="-30" maxValue="1407"/>
    </cacheField>
    <cacheField name="Görüntüleme" numFmtId="164">
      <sharedItems containsSemiMixedTypes="0" containsString="0" containsNumber="1" containsInteger="1" minValue="0" maxValue="2144549"/>
    </cacheField>
    <cacheField name="İzlenme süresi (saat)" numFmtId="165">
      <sharedItems containsSemiMixedTypes="0" containsString="0" containsNumber="1" minValue="0" maxValue="5506.857"/>
    </cacheField>
    <cacheField name="Ort. İzlenme (sn)" numFmtId="0">
      <sharedItems containsString="0" containsBlank="1" containsNumber="1" containsInteger="1" minValue="0" maxValue="50"/>
    </cacheField>
    <cacheField name="Tahmini gelir (USD)" numFmtId="0">
      <sharedItems containsString="0" containsBlank="1" containsNumber="1" minValue="4.0000000000000001E-3" maxValue="1.3720000000000001"/>
    </cacheField>
    <cacheField name="Ay (Tarih)" numFmtId="0" databaseField="0">
      <fieldGroup base="0">
        <rangePr groupBy="months" startDate="2025-07-23T00:00:00" endDate="2026-09-29T00:00:00"/>
        <groupItems count="14">
          <s v="&lt;23.07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9.09.2026"/>
        </groupItems>
      </fieldGroup>
    </cacheField>
    <cacheField name="Üç aylık dönem (Tarih)" numFmtId="0" databaseField="0">
      <fieldGroup base="0">
        <rangePr groupBy="quarters" startDate="2025-07-23T00:00:00" endDate="2026-09-29T00:00:00"/>
        <groupItems count="6">
          <s v="&lt;23.07.2025"/>
          <s v="Çey1"/>
          <s v="Çey2"/>
          <s v="Çey3"/>
          <s v="Çey4"/>
          <s v="&gt;29.09.2026"/>
        </groupItems>
      </fieldGroup>
    </cacheField>
    <cacheField name="Yıl (Tarih)" numFmtId="0" databaseField="0">
      <fieldGroup base="0">
        <rangePr groupBy="years" startDate="2025-07-23T00:00:00" endDate="2026-09-29T00:00:00"/>
        <groupItems count="4">
          <s v="&lt;23.07.2025"/>
          <s v="2025"/>
          <s v="2026"/>
          <s v="&gt;29.09.2026"/>
        </groupItems>
      </fieldGroup>
    </cacheField>
  </cacheFields>
  <extLst>
    <ext xmlns:x14="http://schemas.microsoft.com/office/spreadsheetml/2009/9/main" uri="{725AE2AE-9491-48be-B2B4-4EB974FC3084}">
      <x14:pivotCacheDefinition pivotCacheId="77364175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s v="iwLKB-MY5HQ"/>
    <x v="0"/>
    <x v="0"/>
    <n v="59"/>
    <n v="2"/>
    <n v="8"/>
    <n v="70"/>
    <n v="43"/>
    <n v="0.7298"/>
    <n v="2231"/>
    <n v="15.2788"/>
    <n v="4"/>
    <m/>
    <n v="1070"/>
    <n v="8.5999999999999993E-2"/>
    <x v="0"/>
    <n v="1628.1838"/>
    <n v="1"/>
    <x v="0"/>
  </r>
  <r>
    <s v="7sHZvTHPlIg"/>
    <x v="1"/>
    <x v="1"/>
    <n v="24"/>
    <n v="2"/>
    <n v="1"/>
    <n v="27"/>
    <n v="23"/>
    <n v="0.96050000000000002"/>
    <n v="1782"/>
    <n v="4.5179999999999998"/>
    <n v="0"/>
    <n v="0"/>
    <n v="1746"/>
    <n v="3.3799999999999997E-2"/>
    <x v="1"/>
    <n v="1711.6110000000001"/>
    <n v="1"/>
    <x v="1"/>
  </r>
  <r>
    <s v="OaHss42C67w"/>
    <x v="2"/>
    <x v="2"/>
    <n v="39"/>
    <n v="2"/>
    <n v="4"/>
    <n v="36"/>
    <n v="31"/>
    <n v="0.81079999999999997"/>
    <n v="1363"/>
    <n v="5.1050000000000004"/>
    <n v="2"/>
    <m/>
    <n v="1052"/>
    <n v="4.2799999999999998E-2"/>
    <x v="0"/>
    <n v="1105.1204"/>
    <n v="1"/>
    <x v="2"/>
  </r>
  <r>
    <s v="I5IMNfCtWzw"/>
    <x v="3"/>
    <x v="3"/>
    <n v="17"/>
    <n v="0"/>
    <n v="1"/>
    <n v="34"/>
    <n v="17"/>
    <n v="1.0166999999999999"/>
    <n v="1485"/>
    <n v="2.9961000000000002"/>
    <n v="0"/>
    <m/>
    <n v="1748"/>
    <n v="1.43E-2"/>
    <x v="1"/>
    <n v="1509.7994999999999"/>
    <n v="1"/>
    <x v="3"/>
  </r>
  <r>
    <s v="FUXZkspTWAA"/>
    <x v="4"/>
    <x v="4"/>
    <n v="24"/>
    <n v="0"/>
    <n v="6"/>
    <n v="27"/>
    <n v="21"/>
    <n v="0.87939999999999996"/>
    <n v="1517"/>
    <n v="4.1623999999999999"/>
    <n v="2"/>
    <m/>
    <n v="1284"/>
    <n v="1.4E-2"/>
    <x v="2"/>
    <n v="1334.0498"/>
    <n v="1"/>
    <x v="4"/>
  </r>
  <r>
    <s v="pwSiz9A0Bv4"/>
    <x v="5"/>
    <x v="5"/>
    <n v="14"/>
    <n v="0"/>
    <n v="5"/>
    <n v="35"/>
    <n v="12"/>
    <n v="0.874"/>
    <n v="1434"/>
    <n v="2.0903999999999998"/>
    <n v="1"/>
    <m/>
    <n v="1402"/>
    <n v="0.01"/>
    <x v="2"/>
    <n v="1253.3160000000003"/>
    <n v="1"/>
    <x v="5"/>
  </r>
  <r>
    <s v="1emUbACdG1o"/>
    <x v="6"/>
    <x v="6"/>
    <n v="49"/>
    <n v="2"/>
    <n v="2"/>
    <n v="38"/>
    <n v="27"/>
    <n v="0.5625"/>
    <n v="1713"/>
    <n v="7.2990000000000004"/>
    <n v="1"/>
    <m/>
    <n v="1444"/>
    <n v="5.6800000000000003E-2"/>
    <x v="1"/>
    <n v="963.5625"/>
    <n v="1"/>
    <x v="6"/>
  </r>
  <r>
    <s v="Vj6GnJ44dfY"/>
    <x v="7"/>
    <x v="7"/>
    <n v="12"/>
    <n v="3"/>
    <n v="6"/>
    <n v="46"/>
    <n v="14"/>
    <n v="1.2273000000000001"/>
    <n v="2334"/>
    <n v="4.3037999999999998"/>
    <n v="2"/>
    <m/>
    <n v="1568"/>
    <n v="3.0599999999999999E-2"/>
    <x v="2"/>
    <n v="2864.5182"/>
    <n v="1"/>
    <x v="7"/>
  </r>
  <r>
    <s v="vJ0pCrKww94"/>
    <x v="8"/>
    <x v="8"/>
    <n v="23"/>
    <n v="4"/>
    <n v="3"/>
    <n v="36"/>
    <n v="21"/>
    <n v="0.9294"/>
    <n v="1885"/>
    <n v="5.7728000000000002"/>
    <n v="1"/>
    <m/>
    <n v="1594"/>
    <n v="1.44E-2"/>
    <x v="0"/>
    <n v="1751.9190000000001"/>
    <n v="1"/>
    <x v="8"/>
  </r>
  <r>
    <s v="8sJF3bRK2yQ"/>
    <x v="9"/>
    <x v="9"/>
    <n v="27"/>
    <n v="5"/>
    <n v="5"/>
    <n v="53"/>
    <n v="22"/>
    <n v="0.83050000000000002"/>
    <n v="2466"/>
    <n v="8.2111000000000001"/>
    <n v="2"/>
    <m/>
    <n v="1724"/>
    <n v="1.9099999999999999E-2"/>
    <x v="2"/>
    <n v="2048.0129999999999"/>
    <n v="1"/>
    <x v="9"/>
  </r>
  <r>
    <s v="4050wQuSE04"/>
    <x v="10"/>
    <x v="10"/>
    <n v="9"/>
    <n v="1"/>
    <n v="1"/>
    <n v="42"/>
    <n v="13"/>
    <n v="1.4886999999999999"/>
    <n v="2566"/>
    <n v="3.7128000000000001"/>
    <n v="0"/>
    <m/>
    <n v="1749"/>
    <n v="2.8000000000000001E-2"/>
    <x v="0"/>
    <n v="3820.0042000000003"/>
    <n v="1"/>
    <x v="10"/>
  </r>
  <r>
    <s v="L_RitHkX1s4"/>
    <x v="11"/>
    <x v="11"/>
    <n v="37"/>
    <n v="9"/>
    <n v="6"/>
    <n v="149"/>
    <n v="27"/>
    <n v="0.73899999999999999"/>
    <n v="7539"/>
    <n v="28.228000000000002"/>
    <n v="6"/>
    <n v="0"/>
    <n v="4656"/>
    <n v="1.2E-2"/>
    <x v="2"/>
    <n v="5571.3210000000008"/>
    <n v="1"/>
    <x v="11"/>
  </r>
  <r>
    <s v="v1ZD8lg1tIw"/>
    <x v="12"/>
    <x v="12"/>
    <n v="20"/>
    <n v="24"/>
    <n v="10"/>
    <n v="886"/>
    <n v="20"/>
    <n v="1.0416000000000001"/>
    <n v="47587"/>
    <n v="120.1973"/>
    <n v="229"/>
    <m/>
    <n v="4597"/>
    <n v="4.24E-2"/>
    <x v="3"/>
    <n v="49566.619199999994"/>
    <n v="1"/>
    <x v="12"/>
  </r>
  <r>
    <s v="DVVLmNaDDnc"/>
    <x v="13"/>
    <x v="13"/>
    <n v="21"/>
    <n v="25"/>
    <n v="7"/>
    <n v="727"/>
    <n v="19"/>
    <n v="0.95069999999999999"/>
    <n v="39641"/>
    <n v="120.4915"/>
    <n v="221"/>
    <n v="0"/>
    <n v="3541"/>
    <n v="1.47E-2"/>
    <x v="3"/>
    <n v="37686.698699999994"/>
    <n v="1"/>
    <x v="13"/>
  </r>
  <r>
    <s v="IJTvBWDo8wM"/>
    <x v="14"/>
    <x v="14"/>
    <n v="20"/>
    <n v="7685"/>
    <n v="897"/>
    <n v="136208"/>
    <n v="19"/>
    <n v="0.97470000000000001"/>
    <n v="9245082"/>
    <n v="26190.434099999999"/>
    <n v="24182"/>
    <n v="2E-3"/>
    <n v="89932"/>
    <n v="3.78E-2"/>
    <x v="3"/>
    <n v="9011181.4254000001"/>
    <n v="1"/>
    <x v="14"/>
  </r>
  <r>
    <s v="kS5xY_D0-u0"/>
    <x v="15"/>
    <x v="15"/>
    <n v="15"/>
    <n v="27"/>
    <n v="12"/>
    <n v="606"/>
    <n v="15"/>
    <n v="1"/>
    <n v="20670"/>
    <n v="43.718299999999999"/>
    <n v="52"/>
    <m/>
    <n v="4335"/>
    <n v="3.1099999999999999E-2"/>
    <x v="0"/>
    <n v="20670"/>
    <n v="1"/>
    <x v="15"/>
  </r>
  <r>
    <s v=" -H1_kVI9tcA"/>
    <x v="16"/>
    <x v="16"/>
    <n v="20"/>
    <n v="85"/>
    <n v="12"/>
    <n v="2142"/>
    <n v="18"/>
    <n v="0.93100000000000005"/>
    <n v="97694"/>
    <n v="253.0812"/>
    <n v="357"/>
    <m/>
    <n v="8653"/>
    <n v="2.7E-2"/>
    <x v="3"/>
    <n v="90953.113999999987"/>
    <n v="1"/>
    <x v="16"/>
  </r>
  <r>
    <s v="Z9k0YXNhUVM"/>
    <x v="17"/>
    <x v="17"/>
    <n v="23"/>
    <n v="196"/>
    <n v="26"/>
    <n v="3897"/>
    <n v="24"/>
    <n v="1.0848"/>
    <n v="448417"/>
    <n v="1508.5156999999999"/>
    <n v="935"/>
    <n v="0"/>
    <n v="20112"/>
    <n v="5.8200000000000002E-2"/>
    <x v="3"/>
    <n v="486442.76159999997"/>
    <n v="1"/>
    <x v="17"/>
  </r>
  <r>
    <s v="1CnU_RvnxBw"/>
    <x v="18"/>
    <x v="18"/>
    <n v="21"/>
    <n v="3"/>
    <n v="9"/>
    <n v="436"/>
    <n v="21"/>
    <n v="1.0081"/>
    <n v="26843"/>
    <n v="74.338499999999996"/>
    <n v="57"/>
    <m/>
    <n v="5753"/>
    <n v="3.6499999999999998E-2"/>
    <x v="1"/>
    <n v="27060.4283"/>
    <n v="1"/>
    <x v="18"/>
  </r>
  <r>
    <s v="hBr0mHsdwkw"/>
    <x v="19"/>
    <x v="19"/>
    <n v="23"/>
    <n v="32"/>
    <n v="8"/>
    <n v="808"/>
    <n v="22"/>
    <n v="0.98209999999999997"/>
    <n v="37864"/>
    <n v="121.795"/>
    <n v="139"/>
    <m/>
    <n v="7943"/>
    <n v="4.82E-2"/>
    <x v="3"/>
    <n v="37186.234400000001"/>
    <n v="1"/>
    <x v="19"/>
  </r>
  <r>
    <s v="cAE6Htz1Mpg"/>
    <x v="20"/>
    <x v="20"/>
    <n v="23"/>
    <n v="24"/>
    <n v="5"/>
    <n v="734"/>
    <n v="21"/>
    <n v="0.9425"/>
    <n v="35963"/>
    <n v="107.2136"/>
    <n v="95"/>
    <m/>
    <n v="5233"/>
    <n v="4.2000000000000003E-2"/>
    <x v="3"/>
    <n v="33895.127500000002"/>
    <n v="1"/>
    <x v="20"/>
  </r>
  <r>
    <s v="BPy5anQ35nQ"/>
    <x v="21"/>
    <x v="21"/>
    <n v="35"/>
    <n v="20"/>
    <n v="17"/>
    <n v="1509"/>
    <n v="30"/>
    <n v="0.86229999999999996"/>
    <n v="39663"/>
    <n v="179.5077"/>
    <n v="252"/>
    <m/>
    <n v="5513"/>
    <n v="4.1000000000000002E-2"/>
    <x v="3"/>
    <n v="34201.404900000001"/>
    <n v="1"/>
    <x v="21"/>
  </r>
  <r>
    <s v="EbzA08T8YNg"/>
    <x v="22"/>
    <x v="22"/>
    <n v="24"/>
    <n v="27"/>
    <n v="3"/>
    <n v="986"/>
    <n v="22"/>
    <n v="0.92559999999999998"/>
    <n v="34285"/>
    <n v="106.7115"/>
    <n v="131"/>
    <m/>
    <n v="8325"/>
    <n v="5.96E-2"/>
    <x v="3"/>
    <n v="31734.196"/>
    <n v="1"/>
    <x v="22"/>
  </r>
  <r>
    <s v="S-4yqFa9mLg"/>
    <x v="23"/>
    <x v="23"/>
    <n v="24"/>
    <n v="38"/>
    <n v="3"/>
    <n v="811"/>
    <n v="21"/>
    <n v="0.89029999999999998"/>
    <n v="37514"/>
    <n v="126.2915"/>
    <n v="75"/>
    <m/>
    <n v="5337"/>
    <n v="4.7600000000000003E-2"/>
    <x v="3"/>
    <n v="33398.714200000002"/>
    <n v="1"/>
    <x v="23"/>
  </r>
  <r>
    <s v="zbUbpg4eBaM"/>
    <x v="24"/>
    <x v="24"/>
    <n v="24"/>
    <n v="24"/>
    <n v="5"/>
    <n v="755"/>
    <n v="22"/>
    <n v="0.92220000000000002"/>
    <n v="34484"/>
    <n v="109.9778"/>
    <n v="86"/>
    <m/>
    <n v="6573"/>
    <n v="8.2799999999999999E-2"/>
    <x v="3"/>
    <n v="31801.144800000002"/>
    <n v="1"/>
    <x v="24"/>
  </r>
  <r>
    <s v="gxONQytMLfo"/>
    <x v="25"/>
    <x v="25"/>
    <n v="24"/>
    <n v="7"/>
    <n v="3"/>
    <n v="281"/>
    <n v="19"/>
    <n v="0.8115"/>
    <n v="21686"/>
    <n v="69.346199999999996"/>
    <n v="39"/>
    <m/>
    <n v="3483"/>
    <n v="4.2799999999999998E-2"/>
    <x v="3"/>
    <n v="17598.189000000002"/>
    <n v="1"/>
    <x v="25"/>
  </r>
  <r>
    <s v="In2GomQtRu4"/>
    <x v="26"/>
    <x v="26"/>
    <n v="20"/>
    <n v="16"/>
    <n v="2"/>
    <n v="770"/>
    <n v="19"/>
    <n v="0.99390000000000001"/>
    <n v="33389"/>
    <n v="96.260900000000007"/>
    <n v="90"/>
    <m/>
    <n v="3868"/>
    <n v="4.1099999999999998E-2"/>
    <x v="3"/>
    <n v="33185.327100000002"/>
    <n v="1"/>
    <x v="26"/>
  </r>
  <r>
    <s v="LlYehkptpE0"/>
    <x v="27"/>
    <x v="27"/>
    <n v="20"/>
    <n v="19"/>
    <n v="2"/>
    <n v="733"/>
    <n v="20"/>
    <n v="1.0099"/>
    <n v="31710"/>
    <n v="89.801900000000003"/>
    <n v="156"/>
    <m/>
    <n v="3235"/>
    <n v="5.1299999999999998E-2"/>
    <x v="3"/>
    <n v="32023.929"/>
    <n v="1"/>
    <x v="27"/>
  </r>
  <r>
    <s v="iOig22goq0I"/>
    <x v="28"/>
    <x v="28"/>
    <n v="16"/>
    <n v="6"/>
    <n v="4"/>
    <n v="464"/>
    <n v="15"/>
    <n v="0.99270000000000003"/>
    <n v="29263"/>
    <n v="70.947400000000002"/>
    <n v="57"/>
    <m/>
    <n v="2717"/>
    <n v="5.8500000000000003E-2"/>
    <x v="3"/>
    <n v="29049.380099999998"/>
    <n v="1"/>
    <x v="28"/>
  </r>
  <r>
    <s v="VHnqKNb6d6Q"/>
    <x v="29"/>
    <x v="29"/>
    <n v="20"/>
    <n v="14"/>
    <n v="1"/>
    <n v="678"/>
    <n v="19"/>
    <n v="0.95250000000000001"/>
    <n v="31853"/>
    <n v="89.251300000000001"/>
    <n v="137"/>
    <n v="0"/>
    <n v="3091"/>
    <n v="7.1499999999999994E-2"/>
    <x v="3"/>
    <n v="30339.982500000002"/>
    <n v="1"/>
    <x v="29"/>
  </r>
  <r>
    <s v="TPhSNqRl6H8"/>
    <x v="30"/>
    <x v="30"/>
    <n v="15"/>
    <n v="78"/>
    <n v="7"/>
    <n v="744"/>
    <n v="16"/>
    <n v="1.1305000000000001"/>
    <n v="38295"/>
    <n v="92.764399999999995"/>
    <n v="110"/>
    <m/>
    <n v="3023"/>
    <n v="4.5699999999999998E-2"/>
    <x v="3"/>
    <n v="43292.497500000005"/>
    <n v="1"/>
    <x v="30"/>
  </r>
  <r>
    <s v="ENU_qf8R_kg"/>
    <x v="31"/>
    <x v="31"/>
    <n v="20"/>
    <n v="9"/>
    <n v="3"/>
    <n v="541"/>
    <n v="19"/>
    <n v="0.96850000000000003"/>
    <n v="31237"/>
    <n v="89.7577"/>
    <n v="65"/>
    <m/>
    <n v="2477"/>
    <n v="3.8399999999999997E-2"/>
    <x v="3"/>
    <n v="30253.034499999998"/>
    <n v="1"/>
    <x v="31"/>
  </r>
  <r>
    <s v="TSvXyhDCtxc"/>
    <x v="32"/>
    <x v="32"/>
    <n v="18"/>
    <n v="11"/>
    <n v="5"/>
    <n v="486"/>
    <n v="16"/>
    <n v="0.92079999999999995"/>
    <n v="22218"/>
    <n v="49.648499999999999"/>
    <n v="47"/>
    <m/>
    <n v="2375"/>
    <n v="4.0399999999999998E-2"/>
    <x v="3"/>
    <n v="20458.3344"/>
    <n v="1"/>
    <x v="32"/>
  </r>
  <r>
    <s v="Ci-NzTDw_vQ"/>
    <x v="33"/>
    <x v="33"/>
    <n v="17"/>
    <n v="9"/>
    <n v="24"/>
    <n v="538"/>
    <n v="15"/>
    <n v="0.89259999999999995"/>
    <n v="17021"/>
    <n v="36.571300000000001"/>
    <n v="76"/>
    <n v="0"/>
    <n v="2609"/>
    <n v="2.9499999999999998E-2"/>
    <x v="0"/>
    <n v="15192.944600000001"/>
    <n v="1"/>
    <x v="33"/>
  </r>
  <r>
    <s v="8bS2hBoTVwc"/>
    <x v="34"/>
    <x v="34"/>
    <n v="20"/>
    <n v="5"/>
    <n v="1"/>
    <n v="443"/>
    <n v="20"/>
    <n v="1.0074000000000001"/>
    <n v="30268"/>
    <n v="92.9148"/>
    <n v="46"/>
    <m/>
    <n v="2396"/>
    <n v="3.8800000000000001E-2"/>
    <x v="3"/>
    <n v="30491.983199999995"/>
    <n v="1"/>
    <x v="34"/>
  </r>
  <r>
    <s v="sOSSzU3wsOQ"/>
    <x v="35"/>
    <x v="35"/>
    <n v="14"/>
    <n v="5"/>
    <n v="5"/>
    <n v="399"/>
    <n v="15"/>
    <n v="1.079"/>
    <n v="22388"/>
    <n v="47.862200000000001"/>
    <n v="84"/>
    <m/>
    <n v="2542"/>
    <n v="3.0700000000000002E-2"/>
    <x v="3"/>
    <n v="24156.651999999998"/>
    <n v="1"/>
    <x v="35"/>
  </r>
  <r>
    <s v="tP1743YLwrQ"/>
    <x v="36"/>
    <x v="36"/>
    <n v="16"/>
    <n v="1"/>
    <n v="1"/>
    <n v="86"/>
    <n v="13"/>
    <n v="0.85829999999999995"/>
    <n v="3799"/>
    <n v="6.0572999999999997"/>
    <n v="3"/>
    <m/>
    <n v="2483"/>
    <n v="2.2200000000000001E-2"/>
    <x v="0"/>
    <n v="3260.6816999999996"/>
    <n v="1"/>
    <x v="36"/>
  </r>
  <r>
    <s v="bw5nBiul_mk"/>
    <x v="37"/>
    <x v="37"/>
    <n v="20"/>
    <n v="5"/>
    <n v="2"/>
    <n v="444"/>
    <n v="17"/>
    <n v="0.89800000000000002"/>
    <n v="30614"/>
    <n v="81.922899999999998"/>
    <n v="58"/>
    <m/>
    <n v="3059"/>
    <n v="3.0700000000000002E-2"/>
    <x v="3"/>
    <n v="27491.371999999999"/>
    <n v="1"/>
    <x v="37"/>
  </r>
  <r>
    <s v="uqt5wNtLdmE"/>
    <x v="38"/>
    <x v="38"/>
    <n v="37"/>
    <n v="29"/>
    <n v="5"/>
    <n v="953"/>
    <n v="29"/>
    <n v="0.79420000000000002"/>
    <n v="28789"/>
    <n v="134.9289"/>
    <n v="54"/>
    <m/>
    <n v="3555"/>
    <n v="2.7300000000000001E-2"/>
    <x v="2"/>
    <n v="22864.2238"/>
    <n v="1"/>
    <x v="38"/>
  </r>
  <r>
    <s v="faczvvE3Sfk"/>
    <x v="39"/>
    <x v="39"/>
    <n v="37"/>
    <n v="3"/>
    <n v="2"/>
    <n v="213"/>
    <n v="21"/>
    <n v="0.58789999999999998"/>
    <n v="5115"/>
    <n v="13.801600000000001"/>
    <n v="4"/>
    <m/>
    <n v="2993"/>
    <n v="2.8400000000000002E-2"/>
    <x v="2"/>
    <n v="3007.1084999999998"/>
    <n v="1"/>
    <x v="39"/>
  </r>
  <r>
    <s v="aGnY9rxjjOk"/>
    <x v="40"/>
    <x v="40"/>
    <n v="51"/>
    <n v="1"/>
    <n v="1"/>
    <n v="41"/>
    <n v="32"/>
    <n v="0.64190000000000003"/>
    <n v="1913"/>
    <n v="9.3345000000000002"/>
    <n v="3"/>
    <m/>
    <n v="2672"/>
    <n v="3.5900000000000001E-2"/>
    <x v="2"/>
    <n v="1227.9547"/>
    <n v="1"/>
    <x v="40"/>
  </r>
  <r>
    <s v="W5GQ-hiRbwo"/>
    <x v="41"/>
    <x v="41"/>
    <n v="29"/>
    <n v="8"/>
    <n v="6"/>
    <n v="237"/>
    <n v="22"/>
    <n v="0.78400000000000003"/>
    <n v="10790"/>
    <n v="32.324399999999997"/>
    <n v="23"/>
    <m/>
    <n v="3355"/>
    <n v="3.73E-2"/>
    <x v="0"/>
    <n v="8459.36"/>
    <n v="1"/>
    <x v="41"/>
  </r>
  <r>
    <s v="Tp0JlwnD_nY"/>
    <x v="42"/>
    <x v="42"/>
    <n v="25"/>
    <n v="8"/>
    <n v="6"/>
    <n v="408"/>
    <n v="25"/>
    <n v="1.0037"/>
    <n v="32976"/>
    <n v="117.1798"/>
    <n v="41"/>
    <m/>
    <n v="4168"/>
    <n v="5.04E-2"/>
    <x v="3"/>
    <n v="33098.011200000001"/>
    <n v="1"/>
    <x v="42"/>
  </r>
  <r>
    <s v="bzfz4Kto7zM"/>
    <x v="43"/>
    <x v="43"/>
    <n v="46"/>
    <n v="21"/>
    <n v="5"/>
    <n v="814"/>
    <n v="29"/>
    <n v="0.63770000000000004"/>
    <n v="23961"/>
    <n v="124.31359999999999"/>
    <n v="106"/>
    <m/>
    <n v="3683"/>
    <n v="4.9399999999999999E-2"/>
    <x v="2"/>
    <n v="15279.929700000001"/>
    <n v="1"/>
    <x v="43"/>
  </r>
  <r>
    <s v="FDUx3PiUreg"/>
    <x v="44"/>
    <x v="44"/>
    <n v="29"/>
    <n v="5"/>
    <n v="2"/>
    <n v="95"/>
    <n v="20"/>
    <n v="0.69189999999999996"/>
    <n v="5876"/>
    <n v="14.3218"/>
    <n v="7"/>
    <m/>
    <n v="2370"/>
    <n v="5.91E-2"/>
    <x v="2"/>
    <n v="4065.6043999999997"/>
    <n v="1"/>
    <x v="44"/>
  </r>
  <r>
    <s v="cNGsfZFa_Ns"/>
    <x v="45"/>
    <x v="45"/>
    <n v="24"/>
    <n v="43"/>
    <n v="17"/>
    <n v="1563"/>
    <n v="23"/>
    <n v="0.97740000000000005"/>
    <n v="103049"/>
    <n v="353.8544"/>
    <n v="274"/>
    <m/>
    <n v="4869"/>
    <n v="5.11E-2"/>
    <x v="3"/>
    <n v="100720.09259999999"/>
    <n v="1"/>
    <x v="45"/>
  </r>
  <r>
    <s v="XxQaXGCUwhk"/>
    <x v="46"/>
    <x v="46"/>
    <n v="21"/>
    <n v="13"/>
    <n v="2"/>
    <n v="263"/>
    <n v="20"/>
    <n v="0.98429999999999995"/>
    <n v="19149"/>
    <n v="49.484499999999997"/>
    <n v="24"/>
    <m/>
    <n v="2680"/>
    <n v="4.2900000000000001E-2"/>
    <x v="3"/>
    <n v="18848.360700000001"/>
    <n v="1"/>
    <x v="46"/>
  </r>
  <r>
    <s v="QoEEunK80EA"/>
    <x v="47"/>
    <x v="47"/>
    <n v="33"/>
    <n v="11"/>
    <n v="3"/>
    <n v="351"/>
    <n v="26"/>
    <n v="0.79249999999999998"/>
    <n v="24822"/>
    <n v="89.173400000000001"/>
    <n v="16"/>
    <m/>
    <n v="2970"/>
    <n v="0.03"/>
    <x v="2"/>
    <n v="19671.435000000001"/>
    <n v="1"/>
    <x v="47"/>
  </r>
  <r>
    <s v="QjoL_RvVMCQ"/>
    <x v="48"/>
    <x v="48"/>
    <n v="32"/>
    <n v="10"/>
    <n v="1"/>
    <n v="723"/>
    <n v="26"/>
    <n v="0.83779999999999999"/>
    <n v="32920"/>
    <n v="130.04929999999999"/>
    <n v="25"/>
    <m/>
    <n v="2824"/>
    <n v="2.3699999999999999E-2"/>
    <x v="2"/>
    <n v="27580.376"/>
    <n v="1"/>
    <x v="48"/>
  </r>
  <r>
    <s v="WV_q1c0YYtE"/>
    <x v="49"/>
    <x v="49"/>
    <n v="19"/>
    <n v="28"/>
    <n v="5"/>
    <n v="761"/>
    <n v="20"/>
    <n v="1.0965"/>
    <n v="35916"/>
    <n v="96.566000000000003"/>
    <n v="55"/>
    <m/>
    <n v="3999"/>
    <n v="4.5999999999999999E-2"/>
    <x v="3"/>
    <n v="39381.894"/>
    <n v="1"/>
    <x v="49"/>
  </r>
  <r>
    <s v="2ZffeMpkX_0"/>
    <x v="50"/>
    <x v="50"/>
    <n v="19"/>
    <n v="14"/>
    <n v="2"/>
    <n v="1010"/>
    <n v="19"/>
    <n v="1.0122"/>
    <n v="34257"/>
    <n v="95.465000000000003"/>
    <n v="158"/>
    <m/>
    <n v="3451"/>
    <n v="3.39E-2"/>
    <x v="3"/>
    <n v="34674.935400000002"/>
    <n v="1"/>
    <x v="50"/>
  </r>
  <r>
    <s v="OW5Cp0j30Bg"/>
    <x v="51"/>
    <x v="51"/>
    <n v="18"/>
    <n v="12"/>
    <n v="1"/>
    <n v="409"/>
    <n v="16"/>
    <n v="0.91349999999999998"/>
    <n v="21342"/>
    <n v="55.583799999999997"/>
    <n v="28"/>
    <m/>
    <n v="2500"/>
    <n v="1.7600000000000001E-2"/>
    <x v="3"/>
    <n v="19495.917000000001"/>
    <n v="1"/>
    <x v="51"/>
  </r>
  <r>
    <s v="rgSNAQyl5hQ"/>
    <x v="52"/>
    <x v="52"/>
    <n v="19"/>
    <n v="6"/>
    <n v="3"/>
    <n v="896"/>
    <n v="19"/>
    <n v="1.0361"/>
    <n v="32129"/>
    <n v="91.470500000000001"/>
    <n v="135"/>
    <m/>
    <n v="3467"/>
    <n v="2.5700000000000001E-2"/>
    <x v="3"/>
    <n v="33288.856899999999"/>
    <n v="1"/>
    <x v="52"/>
  </r>
  <r>
    <s v="pHzXfrJNYEQ"/>
    <x v="53"/>
    <x v="53"/>
    <n v="38"/>
    <n v="75"/>
    <n v="15"/>
    <n v="1177"/>
    <n v="22"/>
    <n v="0.59489999999999998"/>
    <n v="18693"/>
    <n v="62.2012"/>
    <n v="112"/>
    <m/>
    <n v="8026"/>
    <n v="2.8000000000000001E-2"/>
    <x v="0"/>
    <n v="11120.465699999999"/>
    <n v="1"/>
    <x v="53"/>
  </r>
  <r>
    <s v="uhp1bJUBdx0"/>
    <x v="54"/>
    <x v="54"/>
    <n v="28"/>
    <n v="20"/>
    <n v="3"/>
    <n v="666"/>
    <n v="23"/>
    <n v="0.8427"/>
    <n v="30383"/>
    <n v="110.9376"/>
    <n v="58"/>
    <m/>
    <n v="4809"/>
    <n v="3.5799999999999998E-2"/>
    <x v="3"/>
    <n v="25603.754100000002"/>
    <n v="1"/>
    <x v="54"/>
  </r>
  <r>
    <s v="kDq2U_z40Fs"/>
    <x v="55"/>
    <x v="55"/>
    <n v="16"/>
    <n v="3"/>
    <n v="1"/>
    <n v="345"/>
    <n v="16"/>
    <n v="1.0168999999999999"/>
    <n v="20410"/>
    <n v="49.241700000000002"/>
    <n v="35"/>
    <n v="0"/>
    <n v="3125"/>
    <n v="3.2300000000000002E-2"/>
    <x v="4"/>
    <n v="20754.928999999996"/>
    <n v="1"/>
    <x v="55"/>
  </r>
  <r>
    <s v="fxHD-cH8w3o"/>
    <x v="56"/>
    <x v="56"/>
    <n v="18"/>
    <n v="7"/>
    <n v="6"/>
    <n v="380"/>
    <n v="23"/>
    <n v="1.3170999999999999"/>
    <n v="40068"/>
    <n v="109.1782"/>
    <n v="39"/>
    <m/>
    <n v="3426"/>
    <n v="6.5699999999999995E-2"/>
    <x v="3"/>
    <n v="52773.562800000007"/>
    <n v="1"/>
    <x v="56"/>
  </r>
  <r>
    <s v="_jeC6GX_rAo"/>
    <x v="57"/>
    <x v="57"/>
    <n v="19"/>
    <n v="12"/>
    <n v="2"/>
    <n v="248"/>
    <n v="19"/>
    <n v="1.0304"/>
    <n v="13828"/>
    <n v="32.484200000000001"/>
    <n v="23"/>
    <m/>
    <n v="2270"/>
    <n v="4.1000000000000002E-2"/>
    <x v="3"/>
    <n v="14248.3712"/>
    <n v="1"/>
    <x v="57"/>
  </r>
  <r>
    <s v="72L_plNemfk"/>
    <x v="58"/>
    <x v="58"/>
    <n v="18"/>
    <n v="131"/>
    <n v="46"/>
    <n v="9869"/>
    <n v="17"/>
    <n v="0.99919999999999998"/>
    <n v="1180464"/>
    <n v="3123.7289999999998"/>
    <n v="562"/>
    <n v="0.05"/>
    <n v="241376"/>
    <n v="7.85E-2"/>
    <x v="4"/>
    <n v="1179519.6288000001"/>
    <n v="1"/>
    <x v="58"/>
  </r>
  <r>
    <s v="T0SQVmdsYDg"/>
    <x v="59"/>
    <x v="59"/>
    <n v="19"/>
    <n v="5"/>
    <n v="4"/>
    <n v="426"/>
    <n v="19"/>
    <n v="1.0185999999999999"/>
    <n v="42227"/>
    <n v="116.87520000000001"/>
    <n v="27"/>
    <m/>
    <n v="2018"/>
    <n v="4.0599999999999997E-2"/>
    <x v="4"/>
    <n v="43012.422200000001"/>
    <n v="1"/>
    <x v="59"/>
  </r>
  <r>
    <s v="3YxkpQMBg9M"/>
    <x v="60"/>
    <x v="60"/>
    <n v="20"/>
    <n v="10"/>
    <n v="0"/>
    <n v="871"/>
    <n v="19"/>
    <n v="0.96340000000000003"/>
    <n v="68179"/>
    <n v="192.56450000000001"/>
    <n v="41"/>
    <m/>
    <n v="5029"/>
    <n v="5.1499999999999997E-2"/>
    <x v="4"/>
    <n v="65683.6486"/>
    <n v="1"/>
    <x v="60"/>
  </r>
  <r>
    <s v="RHB3_6j_0ik"/>
    <x v="61"/>
    <x v="61"/>
    <n v="19"/>
    <n v="33"/>
    <n v="19"/>
    <n v="1961"/>
    <n v="17"/>
    <n v="0.93720000000000003"/>
    <n v="160614"/>
    <n v="440.41559999999998"/>
    <n v="95"/>
    <n v="4.0000000000000001E-3"/>
    <n v="65185"/>
    <n v="8.2100000000000006E-2"/>
    <x v="4"/>
    <n v="150527.44080000001"/>
    <n v="1"/>
    <x v="61"/>
  </r>
  <r>
    <s v="jeSOJ-fcaKg"/>
    <x v="62"/>
    <x v="62"/>
    <n v="26"/>
    <n v="50"/>
    <n v="17"/>
    <n v="10580"/>
    <n v="20"/>
    <n v="0.77200000000000002"/>
    <n v="1220890"/>
    <n v="4073.3757999999998"/>
    <n v="390"/>
    <n v="1E-3"/>
    <n v="13685"/>
    <n v="5.6300000000000003E-2"/>
    <x v="4"/>
    <n v="942527.08000000007"/>
    <n v="1"/>
    <x v="62"/>
  </r>
  <r>
    <s v="mmt-7tploF8"/>
    <x v="63"/>
    <x v="63"/>
    <n v="18"/>
    <n v="27"/>
    <n v="3"/>
    <n v="1250"/>
    <n v="17"/>
    <n v="0.97430000000000005"/>
    <n v="119492"/>
    <n v="300.19009999999997"/>
    <n v="99"/>
    <m/>
    <n v="4438"/>
    <n v="2.0299999999999999E-2"/>
    <x v="4"/>
    <n v="116421.05560000001"/>
    <n v="1"/>
    <x v="63"/>
  </r>
  <r>
    <s v="eGEAJL95roc"/>
    <x v="64"/>
    <x v="64"/>
    <n v="18"/>
    <n v="2"/>
    <n v="1"/>
    <n v="527"/>
    <n v="20"/>
    <n v="1.1604000000000001"/>
    <n v="50611"/>
    <n v="139.33189999999999"/>
    <n v="30"/>
    <n v="0"/>
    <n v="3352"/>
    <n v="2.98E-2"/>
    <x v="4"/>
    <n v="58729.004400000005"/>
    <n v="1"/>
    <x v="64"/>
  </r>
  <r>
    <s v="DRcXa0VwHOU"/>
    <x v="65"/>
    <x v="65"/>
    <n v="15"/>
    <n v="9"/>
    <n v="3"/>
    <n v="465"/>
    <n v="16"/>
    <n v="1.0726"/>
    <n v="39663"/>
    <n v="91.400300000000001"/>
    <n v="31"/>
    <n v="1E-3"/>
    <n v="13448"/>
    <n v="6.6400000000000001E-2"/>
    <x v="4"/>
    <n v="42542.533799999997"/>
    <n v="1"/>
    <x v="65"/>
  </r>
  <r>
    <s v="_LvhdeIhQnA"/>
    <x v="66"/>
    <x v="66"/>
    <n v="20"/>
    <n v="5"/>
    <n v="1"/>
    <n v="266"/>
    <n v="18"/>
    <n v="0.90410000000000001"/>
    <n v="19693"/>
    <n v="52.194899999999997"/>
    <n v="15"/>
    <m/>
    <n v="2331"/>
    <n v="1.84E-2"/>
    <x v="4"/>
    <n v="17804.441299999999"/>
    <n v="1"/>
    <x v="66"/>
  </r>
  <r>
    <s v="MXstByd9-j8"/>
    <x v="67"/>
    <x v="67"/>
    <n v="43"/>
    <n v="0"/>
    <n v="0"/>
    <n v="54"/>
    <n v="14"/>
    <n v="0.34689999999999999"/>
    <n v="2457"/>
    <n v="6.1914999999999996"/>
    <n v="5"/>
    <m/>
    <n v="2246"/>
    <n v="2.0500000000000001E-2"/>
    <x v="2"/>
    <n v="852.33330000000001"/>
    <n v="1"/>
    <x v="67"/>
  </r>
  <r>
    <s v="G0whWnOqaLo"/>
    <x v="68"/>
    <x v="68"/>
    <n v="24"/>
    <n v="5"/>
    <n v="0"/>
    <n v="243"/>
    <n v="22"/>
    <n v="0.93520000000000003"/>
    <n v="31506"/>
    <n v="115.2106"/>
    <n v="31"/>
    <m/>
    <n v="2763"/>
    <n v="5.3900000000000003E-2"/>
    <x v="3"/>
    <n v="29464.411199999999"/>
    <n v="1"/>
    <x v="68"/>
  </r>
  <r>
    <s v="WdXRnprpong"/>
    <x v="69"/>
    <x v="69"/>
    <n v="24"/>
    <n v="5"/>
    <n v="1"/>
    <n v="200"/>
    <n v="22"/>
    <n v="0.95320000000000005"/>
    <n v="31718"/>
    <n v="108.1288"/>
    <n v="23"/>
    <m/>
    <n v="3391"/>
    <n v="3.5099999999999999E-2"/>
    <x v="3"/>
    <n v="30233.597599999997"/>
    <n v="1"/>
    <x v="69"/>
  </r>
  <r>
    <s v=" -I-lS31j2hM"/>
    <x v="70"/>
    <x v="70"/>
    <n v="19"/>
    <n v="101"/>
    <n v="6"/>
    <n v="4341"/>
    <n v="19"/>
    <n v="1.0149999999999999"/>
    <n v="1053492"/>
    <n v="2883.2217000000001"/>
    <n v="554"/>
    <n v="0"/>
    <n v="4764"/>
    <n v="2.9399999999999999E-2"/>
    <x v="3"/>
    <n v="1069294.3799999999"/>
    <n v="1"/>
    <x v="70"/>
  </r>
  <r>
    <s v="wrM8gGB4H7Q"/>
    <x v="71"/>
    <x v="71"/>
    <n v="20"/>
    <n v="7"/>
    <n v="0"/>
    <n v="636"/>
    <n v="19"/>
    <n v="0.98219999999999996"/>
    <n v="41189"/>
    <n v="119.0731"/>
    <n v="20"/>
    <m/>
    <n v="2360"/>
    <n v="1.9099999999999999E-2"/>
    <x v="4"/>
    <n v="40455.835800000001"/>
    <n v="1"/>
    <x v="71"/>
  </r>
  <r>
    <s v="NNdngnJ-SoM"/>
    <x v="72"/>
    <x v="72"/>
    <n v="20"/>
    <n v="1"/>
    <n v="3"/>
    <n v="399"/>
    <n v="19"/>
    <n v="0.97399999999999998"/>
    <n v="33590"/>
    <n v="99.583799999999997"/>
    <n v="20"/>
    <m/>
    <n v="2962"/>
    <n v="2.4E-2"/>
    <x v="4"/>
    <n v="32716.660000000003"/>
    <n v="1"/>
    <x v="72"/>
  </r>
  <r>
    <s v="OtuhLm2Pd_o"/>
    <x v="73"/>
    <x v="73"/>
    <n v="19"/>
    <n v="2"/>
    <n v="2"/>
    <n v="488"/>
    <n v="18"/>
    <n v="0.9516"/>
    <n v="30527"/>
    <n v="84.889600000000002"/>
    <n v="34"/>
    <m/>
    <n v="2861"/>
    <n v="1.7500000000000002E-2"/>
    <x v="4"/>
    <n v="29049.493200000001"/>
    <n v="1"/>
    <x v="73"/>
  </r>
  <r>
    <s v="9BhDTgdLttg"/>
    <x v="74"/>
    <x v="74"/>
    <n v="19"/>
    <n v="4"/>
    <n v="4"/>
    <n v="325"/>
    <n v="18"/>
    <n v="0.96919999999999995"/>
    <n v="28520"/>
    <n v="85.729799999999997"/>
    <n v="30"/>
    <m/>
    <n v="2551"/>
    <n v="1.5299999999999999E-2"/>
    <x v="4"/>
    <n v="27641.584000000003"/>
    <n v="1"/>
    <x v="74"/>
  </r>
  <r>
    <s v="TUksfdJiJ3U"/>
    <x v="75"/>
    <x v="75"/>
    <n v="19"/>
    <n v="13"/>
    <n v="2"/>
    <n v="2071"/>
    <n v="16"/>
    <n v="0.8669"/>
    <n v="252357"/>
    <n v="629.17610000000002"/>
    <n v="89"/>
    <n v="0"/>
    <n v="4058"/>
    <n v="2.2700000000000001E-2"/>
    <x v="4"/>
    <n v="218768.28330000001"/>
    <n v="1"/>
    <x v="75"/>
  </r>
  <r>
    <s v="SL1-DofkBjU"/>
    <x v="76"/>
    <x v="76"/>
    <n v="19"/>
    <n v="711"/>
    <n v="147"/>
    <n v="108504"/>
    <n v="18"/>
    <n v="0.95630000000000004"/>
    <n v="12066018"/>
    <n v="31168.413"/>
    <n v="4020"/>
    <n v="1.7999999999999999E-2"/>
    <n v="22086"/>
    <n v="2.58E-2"/>
    <x v="4"/>
    <n v="11538733.0134"/>
    <n v="1"/>
    <x v="76"/>
  </r>
  <r>
    <s v="1PK9TiIpvqA"/>
    <x v="77"/>
    <x v="77"/>
    <n v="19"/>
    <n v="4"/>
    <n v="2"/>
    <n v="746"/>
    <n v="16"/>
    <n v="0.86599999999999999"/>
    <n v="74839"/>
    <n v="195.95240000000001"/>
    <n v="46"/>
    <m/>
    <n v="3857"/>
    <n v="5.0299999999999997E-2"/>
    <x v="4"/>
    <n v="64810.574000000001"/>
    <n v="1"/>
    <x v="77"/>
  </r>
  <r>
    <s v="XkbBPLaZSuA"/>
    <x v="78"/>
    <x v="78"/>
    <n v="19"/>
    <n v="7"/>
    <n v="2"/>
    <n v="729"/>
    <n v="20"/>
    <n v="1.0622"/>
    <n v="53140"/>
    <n v="156.24600000000001"/>
    <n v="34"/>
    <m/>
    <n v="4361"/>
    <n v="4.7199999999999999E-2"/>
    <x v="4"/>
    <n v="56445.308000000005"/>
    <n v="1"/>
    <x v="78"/>
  </r>
  <r>
    <s v="cIzSELBtwUA"/>
    <x v="79"/>
    <x v="79"/>
    <n v="19"/>
    <n v="5"/>
    <n v="2"/>
    <n v="413"/>
    <n v="17"/>
    <n v="0.8952"/>
    <n v="36173"/>
    <n v="94.573700000000002"/>
    <n v="23"/>
    <m/>
    <n v="3083"/>
    <n v="7.5300000000000006E-2"/>
    <x v="4"/>
    <n v="32382.069599999999"/>
    <n v="1"/>
    <x v="79"/>
  </r>
  <r>
    <s v="oku2lrEfGSY"/>
    <x v="80"/>
    <x v="80"/>
    <n v="19"/>
    <n v="2"/>
    <n v="3"/>
    <n v="189"/>
    <n v="17"/>
    <n v="0.90969999999999995"/>
    <n v="30386"/>
    <n v="78.634500000000003"/>
    <n v="10"/>
    <m/>
    <n v="3231"/>
    <n v="5.2600000000000001E-2"/>
    <x v="4"/>
    <n v="27642.144199999999"/>
    <n v="1"/>
    <x v="80"/>
  </r>
  <r>
    <s v="YSG9yxNIF90"/>
    <x v="81"/>
    <x v="81"/>
    <n v="18"/>
    <n v="0"/>
    <n v="1"/>
    <n v="262"/>
    <n v="16"/>
    <n v="0.92749999999999999"/>
    <n v="32210"/>
    <n v="74.808999999999997"/>
    <n v="10"/>
    <m/>
    <n v="1616"/>
    <n v="4.8300000000000003E-2"/>
    <x v="4"/>
    <n v="29874.775000000001"/>
    <n v="1"/>
    <x v="81"/>
  </r>
  <r>
    <s v="E6ihLOxaU2k"/>
    <x v="82"/>
    <x v="81"/>
    <n v="19"/>
    <n v="0"/>
    <n v="0"/>
    <n v="115"/>
    <n v="16"/>
    <n v="0.88790000000000002"/>
    <n v="13462"/>
    <n v="34.205300000000001"/>
    <n v="11"/>
    <m/>
    <n v="1911"/>
    <n v="5.91E-2"/>
    <x v="4"/>
    <n v="11952.909799999999"/>
    <n v="1"/>
    <x v="82"/>
  </r>
  <r>
    <s v="rHdUGmWsXg0"/>
    <x v="83"/>
    <x v="82"/>
    <n v="17"/>
    <n v="4"/>
    <n v="1"/>
    <n v="292"/>
    <n v="17"/>
    <n v="1.0004999999999999"/>
    <n v="28913"/>
    <n v="75.426199999999994"/>
    <n v="13"/>
    <m/>
    <n v="1731"/>
    <n v="4.6800000000000001E-2"/>
    <x v="4"/>
    <n v="28927.456499999997"/>
    <n v="1"/>
    <x v="83"/>
  </r>
  <r>
    <s v="6BV4jAwaaD8"/>
    <x v="84"/>
    <x v="82"/>
    <n v="18"/>
    <n v="1"/>
    <n v="1"/>
    <n v="164"/>
    <n v="17"/>
    <n v="0.95740000000000003"/>
    <n v="20409"/>
    <n v="47.665599999999998"/>
    <n v="9"/>
    <m/>
    <n v="1534"/>
    <n v="4.4999999999999998E-2"/>
    <x v="4"/>
    <n v="19539.576599999997"/>
    <n v="1"/>
    <x v="84"/>
  </r>
  <r>
    <s v="cQel62SDgZQ"/>
    <x v="85"/>
    <x v="83"/>
    <n v="17"/>
    <n v="5"/>
    <n v="3"/>
    <n v="303"/>
    <n v="15"/>
    <n v="0.92569999999999997"/>
    <n v="29328"/>
    <n v="65.654200000000003"/>
    <n v="22"/>
    <m/>
    <n v="1920"/>
    <n v="5.0999999999999997E-2"/>
    <x v="4"/>
    <n v="27148.929599999999"/>
    <n v="1"/>
    <x v="85"/>
  </r>
  <r>
    <s v="xwE9OPGker4"/>
    <x v="86"/>
    <x v="83"/>
    <n v="19"/>
    <n v="1"/>
    <n v="0"/>
    <n v="268"/>
    <n v="18"/>
    <n v="0.99650000000000005"/>
    <n v="30135"/>
    <n v="89.074700000000007"/>
    <n v="13"/>
    <m/>
    <n v="1288"/>
    <n v="2.4799999999999999E-2"/>
    <x v="4"/>
    <n v="30029.5275"/>
    <n v="1"/>
    <x v="86"/>
  </r>
  <r>
    <s v="g0chksgAhbE"/>
    <x v="87"/>
    <x v="84"/>
    <n v="18"/>
    <n v="3"/>
    <n v="0"/>
    <n v="340"/>
    <n v="17"/>
    <n v="0.98060000000000003"/>
    <n v="39377"/>
    <n v="104.54470000000001"/>
    <n v="19"/>
    <n v="0"/>
    <n v="1378"/>
    <n v="2.0299999999999999E-2"/>
    <x v="4"/>
    <n v="38613.086199999998"/>
    <n v="1"/>
    <x v="87"/>
  </r>
  <r>
    <s v="81b3t0ZBTXY"/>
    <x v="88"/>
    <x v="84"/>
    <n v="17"/>
    <n v="2"/>
    <n v="2"/>
    <n v="186"/>
    <n v="16"/>
    <n v="0.98419999999999996"/>
    <n v="23585"/>
    <n v="56.042999999999999"/>
    <n v="5"/>
    <n v="0"/>
    <n v="1137"/>
    <n v="4.0500000000000001E-2"/>
    <x v="4"/>
    <n v="23212.357"/>
    <n v="1"/>
    <x v="88"/>
  </r>
  <r>
    <s v="VdsUfJ9bTLk"/>
    <x v="89"/>
    <x v="85"/>
    <n v="18"/>
    <n v="1"/>
    <n v="0"/>
    <n v="206"/>
    <n v="15"/>
    <n v="0.86409999999999998"/>
    <n v="23315"/>
    <n v="56.052399999999999"/>
    <n v="15"/>
    <m/>
    <n v="1344"/>
    <n v="3.8699999999999998E-2"/>
    <x v="4"/>
    <n v="20146.4915"/>
    <n v="1"/>
    <x v="89"/>
  </r>
  <r>
    <s v="kV9F4MAvAXA"/>
    <x v="90"/>
    <x v="86"/>
    <n v="18"/>
    <n v="13"/>
    <n v="1"/>
    <n v="1513"/>
    <n v="17"/>
    <n v="0.94799999999999995"/>
    <n v="133627"/>
    <n v="336.69200000000001"/>
    <n v="40"/>
    <n v="0"/>
    <n v="1662"/>
    <n v="1.8700000000000001E-2"/>
    <x v="4"/>
    <n v="126678.39599999999"/>
    <n v="1"/>
    <x v="90"/>
  </r>
  <r>
    <s v="gLhAjfd4l_0"/>
    <x v="91"/>
    <x v="86"/>
    <n v="19"/>
    <n v="7"/>
    <n v="1"/>
    <n v="431"/>
    <n v="16"/>
    <n v="0.88270000000000004"/>
    <n v="33703"/>
    <n v="85.163399999999996"/>
    <n v="15"/>
    <m/>
    <n v="1504"/>
    <n v="3.2599999999999997E-2"/>
    <x v="4"/>
    <n v="29749.638099999996"/>
    <n v="1"/>
    <x v="91"/>
  </r>
  <r>
    <s v="RJEfBeKIArg"/>
    <x v="92"/>
    <x v="86"/>
    <n v="18"/>
    <n v="0"/>
    <n v="1"/>
    <n v="288"/>
    <n v="16"/>
    <n v="0.93820000000000003"/>
    <n v="33071"/>
    <n v="82.963700000000003"/>
    <n v="11"/>
    <m/>
    <n v="1225"/>
    <n v="2.4500000000000001E-2"/>
    <x v="4"/>
    <n v="31027.212199999998"/>
    <n v="1"/>
    <x v="92"/>
  </r>
  <r>
    <s v="i4H6FS_04pU"/>
    <x v="93"/>
    <x v="87"/>
    <n v="19"/>
    <n v="0"/>
    <n v="0"/>
    <n v="160"/>
    <n v="17"/>
    <n v="0.89759999999999995"/>
    <n v="17395"/>
    <n v="42.854100000000003"/>
    <n v="6"/>
    <m/>
    <n v="1479"/>
    <n v="2.1000000000000001E-2"/>
    <x v="4"/>
    <n v="15613.752"/>
    <n v="1"/>
    <x v="93"/>
  </r>
  <r>
    <s v="OdUmuOQgxWk"/>
    <x v="94"/>
    <x v="88"/>
    <n v="18"/>
    <n v="0"/>
    <n v="1"/>
    <n v="150"/>
    <n v="16"/>
    <n v="0.9204"/>
    <n v="15898"/>
    <n v="40.941800000000001"/>
    <n v="13"/>
    <n v="0"/>
    <n v="1583"/>
    <n v="2.9100000000000001E-2"/>
    <x v="4"/>
    <n v="14632.519200000002"/>
    <n v="1"/>
    <x v="94"/>
  </r>
  <r>
    <s v="DiW3Uddpa3Q"/>
    <x v="95"/>
    <x v="89"/>
    <n v="23"/>
    <n v="0"/>
    <n v="0"/>
    <n v="254"/>
    <n v="19"/>
    <n v="0.86499999999999999"/>
    <n v="18904"/>
    <n v="56.851700000000001"/>
    <n v="6"/>
    <m/>
    <n v="1694"/>
    <n v="1.95E-2"/>
    <x v="4"/>
    <n v="16351.96"/>
    <n v="1"/>
    <x v="95"/>
  </r>
  <r>
    <s v="C7tdidtom_g"/>
    <x v="96"/>
    <x v="90"/>
    <n v="22"/>
    <n v="28"/>
    <n v="4"/>
    <n v="3673"/>
    <n v="17"/>
    <n v="0.79459999999999997"/>
    <n v="1035157"/>
    <n v="3000.1889999999999"/>
    <n v="316"/>
    <n v="6.0000000000000001E-3"/>
    <n v="11108"/>
    <n v="9.7500000000000003E-2"/>
    <x v="4"/>
    <n v="822535.75219999999"/>
    <n v="1"/>
    <x v="96"/>
  </r>
  <r>
    <s v="gBv8yuUVoxk"/>
    <x v="97"/>
    <x v="91"/>
    <n v="19"/>
    <n v="1"/>
    <n v="0"/>
    <n v="345"/>
    <n v="19"/>
    <n v="1.0408999999999999"/>
    <n v="35233"/>
    <n v="98.462400000000002"/>
    <n v="18"/>
    <m/>
    <n v="1850"/>
    <n v="2.1600000000000001E-2"/>
    <x v="4"/>
    <n v="36674.029699999999"/>
    <n v="1"/>
    <x v="97"/>
  </r>
  <r>
    <s v="WNQKxyQWLIM"/>
    <x v="98"/>
    <x v="92"/>
    <n v="19"/>
    <n v="9"/>
    <n v="2"/>
    <n v="606"/>
    <n v="19"/>
    <n v="1.0237000000000001"/>
    <n v="40754"/>
    <n v="113.80670000000001"/>
    <n v="21"/>
    <m/>
    <n v="2039"/>
    <n v="1.8599999999999998E-2"/>
    <x v="4"/>
    <n v="41719.8698"/>
    <n v="1"/>
    <x v="98"/>
  </r>
  <r>
    <s v="1jXHTHAP-qs"/>
    <x v="99"/>
    <x v="93"/>
    <n v="18"/>
    <n v="2"/>
    <n v="0"/>
    <n v="223"/>
    <n v="17"/>
    <n v="0.9536"/>
    <n v="19063"/>
    <n v="47.5199"/>
    <n v="10"/>
    <n v="0"/>
    <n v="2059"/>
    <n v="5.2900000000000003E-2"/>
    <x v="4"/>
    <n v="18178.4768"/>
    <n v="1"/>
    <x v="99"/>
  </r>
  <r>
    <s v="8vBe82BdQaQ"/>
    <x v="100"/>
    <x v="94"/>
    <n v="15"/>
    <n v="1"/>
    <n v="2"/>
    <n v="69"/>
    <n v="13"/>
    <n v="0.93089999999999995"/>
    <n v="5586"/>
    <n v="11.412800000000001"/>
    <n v="5"/>
    <m/>
    <n v="1875"/>
    <n v="1.7600000000000001E-2"/>
    <x v="4"/>
    <n v="5200.0074000000004"/>
    <n v="1"/>
    <x v="100"/>
  </r>
  <r>
    <s v="Nu2DU2ovCGs"/>
    <x v="101"/>
    <x v="95"/>
    <n v="17"/>
    <n v="0"/>
    <n v="1"/>
    <n v="355"/>
    <n v="15"/>
    <n v="0.92620000000000002"/>
    <n v="22066"/>
    <n v="60.417099999999998"/>
    <n v="15"/>
    <n v="0"/>
    <n v="1988"/>
    <n v="3.3700000000000001E-2"/>
    <x v="4"/>
    <n v="20437.529200000001"/>
    <n v="1"/>
    <x v="101"/>
  </r>
  <r>
    <s v="EzmiPB8aU38"/>
    <x v="102"/>
    <x v="96"/>
    <n v="20"/>
    <n v="2"/>
    <n v="0"/>
    <n v="225"/>
    <n v="18"/>
    <n v="0.92030000000000001"/>
    <n v="19680"/>
    <n v="49.147599999999997"/>
    <n v="7"/>
    <n v="0"/>
    <n v="2479"/>
    <n v="2.7400000000000001E-2"/>
    <x v="4"/>
    <n v="18111.504000000001"/>
    <n v="1"/>
    <x v="102"/>
  </r>
  <r>
    <s v="UyRRLWZpCbo"/>
    <x v="103"/>
    <x v="97"/>
    <n v="21"/>
    <n v="3"/>
    <n v="1"/>
    <n v="171"/>
    <n v="17"/>
    <n v="0.81020000000000003"/>
    <n v="22036"/>
    <n v="58.791400000000003"/>
    <n v="4"/>
    <n v="0"/>
    <n v="2405"/>
    <n v="8.6999999999999994E-3"/>
    <x v="1"/>
    <n v="17853.567199999998"/>
    <n v="1"/>
    <x v="103"/>
  </r>
  <r>
    <s v="5-X52RvDZnM"/>
    <x v="104"/>
    <x v="98"/>
    <n v="24"/>
    <n v="20"/>
    <n v="3"/>
    <n v="326"/>
    <n v="20"/>
    <n v="0.86009999999999998"/>
    <n v="29905"/>
    <n v="99.516599999999997"/>
    <n v="11"/>
    <n v="0"/>
    <n v="3145"/>
    <n v="1.43E-2"/>
    <x v="1"/>
    <n v="25721.290500000003"/>
    <n v="1"/>
    <x v="104"/>
  </r>
  <r>
    <s v="fubiJKd9hI0"/>
    <x v="105"/>
    <x v="99"/>
    <n v="16"/>
    <n v="10"/>
    <n v="0"/>
    <n v="275"/>
    <n v="18"/>
    <n v="1.1346000000000001"/>
    <n v="39167"/>
    <n v="90.521299999999997"/>
    <n v="17"/>
    <n v="0"/>
    <n v="3254"/>
    <n v="1.0800000000000001E-2"/>
    <x v="1"/>
    <n v="44438.878199999992"/>
    <n v="1"/>
    <x v="105"/>
  </r>
  <r>
    <s v="WnAuqS-0MVI"/>
    <x v="106"/>
    <x v="100"/>
    <n v="24"/>
    <n v="16"/>
    <n v="1"/>
    <n v="762"/>
    <n v="20"/>
    <n v="0.86380000000000001"/>
    <n v="31086"/>
    <n v="101.5304"/>
    <n v="17"/>
    <n v="0"/>
    <n v="6865"/>
    <n v="5.8799999999999998E-2"/>
    <x v="1"/>
    <n v="26852.086799999997"/>
    <n v="1"/>
    <x v="106"/>
  </r>
  <r>
    <s v="Ph_wM1NPOOw"/>
    <x v="107"/>
    <x v="101"/>
    <n v="24"/>
    <n v="1932"/>
    <n v="132"/>
    <n v="92414"/>
    <n v="20"/>
    <n v="0.87490000000000001"/>
    <n v="4525030"/>
    <n v="14888.921899999999"/>
    <n v="1941"/>
    <n v="0.153"/>
    <n v="56593"/>
    <n v="2.75E-2"/>
    <x v="1"/>
    <n v="3958948.7469999995"/>
    <n v="1"/>
    <x v="107"/>
  </r>
  <r>
    <s v="l0AUkt3wmLc"/>
    <x v="108"/>
    <x v="102"/>
    <n v="22"/>
    <n v="26"/>
    <n v="8"/>
    <n v="834"/>
    <n v="17"/>
    <n v="0.81379999999999997"/>
    <n v="25864"/>
    <n v="70.066800000000001"/>
    <n v="48"/>
    <n v="0"/>
    <n v="9242"/>
    <n v="4.2500000000000003E-2"/>
    <x v="1"/>
    <n v="21048.123199999998"/>
    <n v="1"/>
    <x v="108"/>
  </r>
  <r>
    <s v="g28ZacnFMnI"/>
    <x v="109"/>
    <x v="103"/>
    <n v="30"/>
    <n v="40"/>
    <n v="8"/>
    <n v="1004"/>
    <n v="20"/>
    <n v="0.69410000000000005"/>
    <n v="21221"/>
    <n v="67.581500000000005"/>
    <n v="53"/>
    <n v="0"/>
    <n v="5030"/>
    <n v="5.1499999999999997E-2"/>
    <x v="1"/>
    <n v="14729.496099999998"/>
    <n v="1"/>
    <x v="109"/>
  </r>
  <r>
    <s v="8OP4oV0HSsk"/>
    <x v="110"/>
    <x v="104"/>
    <n v="23"/>
    <n v="13"/>
    <n v="0"/>
    <n v="849"/>
    <n v="19"/>
    <n v="0.8548"/>
    <n v="55535"/>
    <n v="158.54390000000001"/>
    <n v="43"/>
    <n v="0"/>
    <n v="4003"/>
    <n v="0.12590000000000001"/>
    <x v="1"/>
    <n v="47471.317999999999"/>
    <n v="1"/>
    <x v="110"/>
  </r>
  <r>
    <s v="0j8tzOJYQoY"/>
    <x v="111"/>
    <x v="105"/>
    <n v="24"/>
    <n v="136"/>
    <n v="7"/>
    <n v="4614"/>
    <n v="19"/>
    <n v="0.82799999999999996"/>
    <n v="29793"/>
    <n v="96.983099999999993"/>
    <n v="52"/>
    <n v="1E-3"/>
    <n v="4540"/>
    <n v="6.7000000000000004E-2"/>
    <x v="1"/>
    <n v="24668.603999999999"/>
    <n v="1"/>
    <x v="111"/>
  </r>
  <r>
    <s v="IOQunyjOgmw"/>
    <x v="112"/>
    <x v="106"/>
    <n v="26"/>
    <n v="98"/>
    <n v="8"/>
    <n v="1792"/>
    <n v="22"/>
    <n v="0.88280000000000003"/>
    <n v="39788"/>
    <n v="150.18610000000001"/>
    <n v="64"/>
    <n v="0"/>
    <n v="4568"/>
    <n v="0.14910000000000001"/>
    <x v="1"/>
    <n v="35124.846400000002"/>
    <n v="1"/>
    <x v="112"/>
  </r>
  <r>
    <s v="jbSf_GHTuy0"/>
    <x v="113"/>
    <x v="107"/>
    <n v="24"/>
    <n v="48"/>
    <n v="7"/>
    <n v="1119"/>
    <n v="21"/>
    <n v="0.87649999999999995"/>
    <n v="37718"/>
    <n v="124.6678"/>
    <n v="23"/>
    <n v="0"/>
    <n v="3556"/>
    <n v="5.6000000000000001E-2"/>
    <x v="1"/>
    <n v="33059.827000000005"/>
    <n v="1"/>
    <x v="113"/>
  </r>
  <r>
    <s v="ZdczxNHcBRI"/>
    <x v="114"/>
    <x v="108"/>
    <n v="22"/>
    <n v="7"/>
    <n v="1"/>
    <n v="240"/>
    <n v="16"/>
    <n v="0.77"/>
    <n v="16283"/>
    <n v="38.1935"/>
    <n v="10"/>
    <n v="0"/>
    <n v="1434"/>
    <n v="7.5300000000000006E-2"/>
    <x v="1"/>
    <n v="12537.91"/>
    <n v="1"/>
    <x v="114"/>
  </r>
  <r>
    <s v="iIY6LgHk_fk"/>
    <x v="115"/>
    <x v="109"/>
    <n v="32"/>
    <n v="10"/>
    <n v="2"/>
    <n v="184"/>
    <n v="24"/>
    <n v="0.75619999999999998"/>
    <n v="12263"/>
    <n v="43.4773"/>
    <n v="10"/>
    <n v="0"/>
    <n v="1276"/>
    <n v="5.7200000000000001E-2"/>
    <x v="1"/>
    <n v="9273.2806000000019"/>
    <n v="1"/>
    <x v="115"/>
  </r>
  <r>
    <s v="cZw5jFdYVzY"/>
    <x v="116"/>
    <x v="110"/>
    <n v="21"/>
    <n v="18"/>
    <n v="3"/>
    <n v="617"/>
    <n v="21"/>
    <n v="1.0012000000000001"/>
    <n v="29871"/>
    <n v="93.766800000000003"/>
    <n v="23"/>
    <n v="0"/>
    <n v="1202"/>
    <n v="4.6600000000000003E-2"/>
    <x v="1"/>
    <n v="29906.845200000003"/>
    <n v="1"/>
    <x v="116"/>
  </r>
  <r>
    <s v="VR_ZxmA9JyY"/>
    <x v="117"/>
    <x v="111"/>
    <n v="24"/>
    <n v="4"/>
    <n v="1"/>
    <n v="325"/>
    <n v="19"/>
    <n v="0.80940000000000001"/>
    <n v="14312"/>
    <n v="45.450499999999998"/>
    <n v="5"/>
    <n v="0"/>
    <n v="1055"/>
    <n v="5.3999999999999999E-2"/>
    <x v="1"/>
    <n v="11584.132799999999"/>
    <n v="1"/>
    <x v="117"/>
  </r>
  <r>
    <s v="MFVAw3mp0jE"/>
    <x v="118"/>
    <x v="112"/>
    <n v="21"/>
    <n v="10"/>
    <n v="0"/>
    <n v="596"/>
    <n v="19"/>
    <n v="0.94340000000000002"/>
    <n v="29709"/>
    <n v="89.008300000000006"/>
    <n v="9"/>
    <n v="0"/>
    <n v="962"/>
    <n v="4.0500000000000001E-2"/>
    <x v="1"/>
    <n v="28027.470600000001"/>
    <n v="1"/>
    <x v="118"/>
  </r>
  <r>
    <s v="qwklTOhH-sc"/>
    <x v="109"/>
    <x v="113"/>
    <n v="26"/>
    <n v="9"/>
    <n v="4"/>
    <n v="713"/>
    <n v="20"/>
    <n v="0.80420000000000003"/>
    <n v="20820"/>
    <n v="66.983199999999997"/>
    <n v="32"/>
    <n v="0"/>
    <n v="1424"/>
    <n v="5.3400000000000003E-2"/>
    <x v="1"/>
    <n v="16743.444"/>
    <n v="1"/>
    <x v="119"/>
  </r>
  <r>
    <s v="GrkcrbtJqAk"/>
    <x v="119"/>
    <x v="114"/>
    <n v="19"/>
    <n v="145"/>
    <n v="5"/>
    <n v="4230"/>
    <n v="17"/>
    <n v="0.9244"/>
    <n v="201821"/>
    <n v="502.99400000000003"/>
    <n v="82"/>
    <n v="0"/>
    <n v="4400"/>
    <n v="3.6999999999999998E-2"/>
    <x v="1"/>
    <n v="186563.33240000001"/>
    <n v="1"/>
    <x v="120"/>
  </r>
  <r>
    <s v="tgXChMXtVnw"/>
    <x v="120"/>
    <x v="115"/>
    <n v="22"/>
    <n v="6"/>
    <n v="3"/>
    <n v="790"/>
    <n v="17"/>
    <n v="0.81130000000000002"/>
    <n v="27485"/>
    <n v="79.915700000000001"/>
    <n v="29"/>
    <n v="0"/>
    <n v="1272"/>
    <n v="4.9500000000000002E-2"/>
    <x v="1"/>
    <n v="22298.580499999996"/>
    <n v="1"/>
    <x v="121"/>
  </r>
  <r>
    <s v="t0qAq2tkW9k"/>
    <x v="105"/>
    <x v="116"/>
    <n v="15"/>
    <n v="14"/>
    <n v="4"/>
    <n v="886"/>
    <n v="15"/>
    <n v="1.0234000000000001"/>
    <n v="180758"/>
    <n v="401.59440000000001"/>
    <n v="56"/>
    <n v="0"/>
    <n v="1367"/>
    <n v="5.1200000000000002E-2"/>
    <x v="1"/>
    <n v="184987.7372"/>
    <n v="1"/>
    <x v="122"/>
  </r>
  <r>
    <s v="rP1MgkHo-Mk"/>
    <x v="121"/>
    <x v="117"/>
    <n v="22"/>
    <n v="9"/>
    <n v="2"/>
    <n v="291"/>
    <n v="17"/>
    <n v="0.81740000000000002"/>
    <n v="26195"/>
    <n v="68.595200000000006"/>
    <n v="15"/>
    <n v="1E-3"/>
    <n v="1329"/>
    <n v="4.7399999999999998E-2"/>
    <x v="1"/>
    <n v="21411.792999999998"/>
    <n v="1"/>
    <x v="123"/>
  </r>
  <r>
    <s v="L4a3lciDMio"/>
    <x v="122"/>
    <x v="118"/>
    <n v="30"/>
    <n v="23"/>
    <n v="3"/>
    <n v="676"/>
    <n v="26"/>
    <n v="0.86699999999999999"/>
    <n v="27234"/>
    <n v="114.45350000000001"/>
    <n v="34"/>
    <n v="1E-3"/>
    <n v="1111"/>
    <n v="3.5099999999999999E-2"/>
    <x v="1"/>
    <n v="23611.878000000001"/>
    <n v="1"/>
    <x v="124"/>
  </r>
  <r>
    <s v="L5SSPp7af1s"/>
    <x v="123"/>
    <x v="119"/>
    <n v="28"/>
    <n v="27"/>
    <n v="2"/>
    <n v="656"/>
    <n v="21"/>
    <n v="0.78059999999999996"/>
    <n v="23622"/>
    <n v="78.349800000000002"/>
    <n v="69"/>
    <n v="1E-3"/>
    <n v="2009"/>
    <n v="1.6899999999999998E-2"/>
    <x v="1"/>
    <n v="18439.333200000001"/>
    <n v="1"/>
    <x v="125"/>
  </r>
  <r>
    <s v="yMJVov3BH8k"/>
    <x v="124"/>
    <x v="120"/>
    <n v="22"/>
    <n v="19"/>
    <n v="3"/>
    <n v="604"/>
    <n v="20"/>
    <n v="0.92820000000000003"/>
    <n v="35576"/>
    <n v="98.175799999999995"/>
    <n v="23"/>
    <n v="1E-3"/>
    <n v="1334"/>
    <n v="2.6200000000000001E-2"/>
    <x v="1"/>
    <n v="33021.643199999999"/>
    <n v="1"/>
    <x v="126"/>
  </r>
  <r>
    <s v="t-Ph4QimlWQ"/>
    <x v="125"/>
    <x v="121"/>
    <n v="23"/>
    <n v="1"/>
    <n v="0"/>
    <n v="14"/>
    <n v="19"/>
    <n v="0.84299999999999997"/>
    <n v="960"/>
    <n v="2.2193999999999998"/>
    <n v="0"/>
    <n v="0"/>
    <n v="598"/>
    <n v="0.01"/>
    <x v="1"/>
    <n v="809.28"/>
    <n v="1"/>
    <x v="127"/>
  </r>
  <r>
    <s v="vtsOxV3E0fQ"/>
    <x v="126"/>
    <x v="122"/>
    <n v="23"/>
    <n v="5"/>
    <n v="0"/>
    <n v="266"/>
    <n v="21"/>
    <n v="0.93959999999999999"/>
    <n v="26249"/>
    <n v="95.081500000000005"/>
    <n v="17"/>
    <n v="1E-3"/>
    <n v="822"/>
    <n v="2.5499999999999998E-2"/>
    <x v="1"/>
    <n v="24663.560399999998"/>
    <n v="1"/>
    <x v="128"/>
  </r>
  <r>
    <s v="OnFRSigBiW4"/>
    <x v="127"/>
    <x v="123"/>
    <n v="24"/>
    <n v="12"/>
    <n v="3"/>
    <n v="724"/>
    <n v="24"/>
    <n v="1.0068999999999999"/>
    <n v="29174"/>
    <n v="106.0538"/>
    <n v="35"/>
    <n v="1E-3"/>
    <n v="927"/>
    <n v="3.3399999999999999E-2"/>
    <x v="1"/>
    <n v="29375.300599999999"/>
    <n v="1"/>
    <x v="129"/>
  </r>
  <r>
    <s v="noeHns8opn0"/>
    <x v="128"/>
    <x v="124"/>
    <n v="24"/>
    <n v="9"/>
    <n v="2"/>
    <n v="503"/>
    <n v="22"/>
    <n v="0.91749999999999998"/>
    <n v="34639"/>
    <n v="116.19029999999999"/>
    <n v="12"/>
    <n v="1E-3"/>
    <n v="1137"/>
    <n v="4.2200000000000001E-2"/>
    <x v="1"/>
    <n v="31781.282500000001"/>
    <n v="1"/>
    <x v="130"/>
  </r>
  <r>
    <s v="qyPD9edmwJ4"/>
    <x v="129"/>
    <x v="125"/>
    <n v="27"/>
    <n v="25"/>
    <n v="4"/>
    <n v="542"/>
    <n v="20"/>
    <n v="0.7621"/>
    <n v="19863"/>
    <n v="59.972099999999998"/>
    <n v="42"/>
    <n v="1E-3"/>
    <n v="1776"/>
    <n v="3.7199999999999997E-2"/>
    <x v="1"/>
    <n v="15137.592299999998"/>
    <n v="1"/>
    <x v="131"/>
  </r>
  <r>
    <s v="5HiU0KWEO8I"/>
    <x v="130"/>
    <x v="126"/>
    <n v="27"/>
    <n v="19"/>
    <n v="2"/>
    <n v="694"/>
    <n v="20"/>
    <n v="0.76880000000000004"/>
    <n v="24037"/>
    <n v="89.099900000000005"/>
    <n v="9"/>
    <n v="1E-3"/>
    <n v="955"/>
    <n v="3.8699999999999998E-2"/>
    <x v="1"/>
    <n v="18479.6456"/>
    <n v="1"/>
    <x v="132"/>
  </r>
  <r>
    <s v="sxs7x1-z5JA"/>
    <x v="121"/>
    <x v="127"/>
    <n v="20"/>
    <n v="9"/>
    <n v="0"/>
    <n v="471"/>
    <n v="18"/>
    <n v="0.93640000000000001"/>
    <n v="24815"/>
    <n v="62.9206"/>
    <n v="42"/>
    <n v="1E-3"/>
    <n v="1359"/>
    <n v="4.19E-2"/>
    <x v="1"/>
    <n v="23236.766"/>
    <n v="1"/>
    <x v="133"/>
  </r>
  <r>
    <s v="aMVY9i95zCc"/>
    <x v="131"/>
    <x v="128"/>
    <n v="22"/>
    <n v="7"/>
    <n v="2"/>
    <n v="450"/>
    <n v="20"/>
    <n v="0.94469999999999998"/>
    <n v="32342"/>
    <n v="102.3522"/>
    <n v="19"/>
    <n v="1E-3"/>
    <n v="797"/>
    <n v="1.8800000000000001E-2"/>
    <x v="1"/>
    <n v="30553.487399999998"/>
    <n v="1"/>
    <x v="134"/>
  </r>
  <r>
    <s v="t287eivRvKE"/>
    <x v="132"/>
    <x v="129"/>
    <n v="24"/>
    <n v="17"/>
    <n v="2"/>
    <n v="795"/>
    <n v="17"/>
    <n v="0.74419999999999997"/>
    <n v="24238"/>
    <n v="72.377899999999997"/>
    <n v="28"/>
    <n v="1E-3"/>
    <n v="1002"/>
    <n v="3.6900000000000002E-2"/>
    <x v="1"/>
    <n v="18037.919600000001"/>
    <n v="1"/>
    <x v="135"/>
  </r>
  <r>
    <s v="hBjqc5-0O6U"/>
    <x v="133"/>
    <x v="130"/>
    <n v="26"/>
    <n v="6"/>
    <n v="2"/>
    <n v="711"/>
    <n v="22"/>
    <n v="0.85419999999999996"/>
    <n v="27232"/>
    <n v="94.341899999999995"/>
    <n v="36"/>
    <n v="1E-3"/>
    <n v="784"/>
    <n v="2.4199999999999999E-2"/>
    <x v="1"/>
    <n v="23261.574400000001"/>
    <n v="1"/>
    <x v="136"/>
  </r>
  <r>
    <s v="JgIThiGJ-5I"/>
    <x v="134"/>
    <x v="131"/>
    <n v="20"/>
    <n v="15"/>
    <n v="3"/>
    <n v="538"/>
    <n v="18"/>
    <n v="0.91900000000000004"/>
    <n v="28992"/>
    <n v="82.167000000000002"/>
    <n v="27"/>
    <n v="3.0000000000000001E-3"/>
    <n v="826"/>
    <n v="2.18E-2"/>
    <x v="1"/>
    <n v="26643.648000000001"/>
    <n v="1"/>
    <x v="137"/>
  </r>
  <r>
    <s v="8oCcBkGnKzE"/>
    <x v="135"/>
    <x v="132"/>
    <n v="39"/>
    <n v="11"/>
    <n v="2"/>
    <n v="92"/>
    <n v="27"/>
    <n v="0.69740000000000002"/>
    <n v="5151"/>
    <n v="22.791499999999999"/>
    <n v="5"/>
    <n v="2E-3"/>
    <n v="3069"/>
    <n v="7.2700000000000001E-2"/>
    <x v="1"/>
    <n v="3592.3073999999997"/>
    <n v="1"/>
    <x v="138"/>
  </r>
  <r>
    <s v="rjRHg0ZDN8A"/>
    <x v="108"/>
    <x v="133"/>
    <n v="21"/>
    <n v="61"/>
    <n v="13"/>
    <n v="1141"/>
    <n v="19"/>
    <n v="0.91830000000000001"/>
    <n v="78369"/>
    <n v="221.87719999999999"/>
    <n v="159"/>
    <n v="3.0000000000000001E-3"/>
    <n v="3833"/>
    <n v="3.6299999999999999E-2"/>
    <x v="1"/>
    <n v="71966.252699999997"/>
    <n v="1"/>
    <x v="139"/>
  </r>
  <r>
    <s v="khw1vY2ipKQ"/>
    <x v="136"/>
    <x v="134"/>
    <n v="20"/>
    <n v="2"/>
    <n v="0"/>
    <n v="32"/>
    <n v="15"/>
    <n v="0.76080000000000003"/>
    <n v="1904"/>
    <n v="3.9567000000000001"/>
    <n v="1"/>
    <n v="2E-3"/>
    <n v="647"/>
    <n v="3.09E-2"/>
    <x v="1"/>
    <n v="1448.5632000000001"/>
    <n v="1"/>
    <x v="140"/>
  </r>
  <r>
    <s v="0BtqPmOuKzA"/>
    <x v="137"/>
    <x v="135"/>
    <n v="27"/>
    <n v="41"/>
    <n v="6"/>
    <n v="816"/>
    <n v="24"/>
    <n v="0.89680000000000004"/>
    <n v="31558"/>
    <n v="114.97069999999999"/>
    <n v="15"/>
    <n v="5.0000000000000001E-3"/>
    <n v="1483"/>
    <n v="2.4299999999999999E-2"/>
    <x v="1"/>
    <n v="28301.214400000001"/>
    <n v="1"/>
    <x v="141"/>
  </r>
  <r>
    <s v="4l9oq2x1D9c"/>
    <x v="138"/>
    <x v="136"/>
    <n v="21"/>
    <n v="7"/>
    <n v="1"/>
    <n v="311"/>
    <n v="17"/>
    <n v="0.85040000000000004"/>
    <n v="26887"/>
    <n v="77.949700000000007"/>
    <n v="8"/>
    <n v="3.0000000000000001E-3"/>
    <n v="1197"/>
    <n v="2.4199999999999999E-2"/>
    <x v="1"/>
    <n v="22864.7048"/>
    <n v="1"/>
    <x v="142"/>
  </r>
  <r>
    <s v="cYpR-xwUMGQ"/>
    <x v="139"/>
    <x v="137"/>
    <n v="28"/>
    <n v="15"/>
    <n v="4"/>
    <n v="781"/>
    <n v="26"/>
    <n v="0.9365"/>
    <n v="30840"/>
    <n v="125.1293"/>
    <n v="68"/>
    <n v="4.0000000000000001E-3"/>
    <n v="795"/>
    <n v="1.6400000000000001E-2"/>
    <x v="1"/>
    <n v="28881.660000000003"/>
    <n v="1"/>
    <x v="143"/>
  </r>
  <r>
    <s v="hBAuaN7K1No"/>
    <x v="140"/>
    <x v="138"/>
    <n v="22"/>
    <n v="7"/>
    <n v="4"/>
    <n v="142"/>
    <n v="16"/>
    <n v="0.74829999999999997"/>
    <n v="11461"/>
    <n v="33.783900000000003"/>
    <n v="11"/>
    <n v="3.0000000000000001E-3"/>
    <n v="1002"/>
    <n v="6.0900000000000003E-2"/>
    <x v="1"/>
    <n v="8576.2662999999993"/>
    <n v="1"/>
    <x v="144"/>
  </r>
  <r>
    <s v=" -DYFKMHIPls"/>
    <x v="119"/>
    <x v="139"/>
    <n v="21"/>
    <n v="26"/>
    <n v="5"/>
    <n v="679"/>
    <n v="20"/>
    <n v="0.98780000000000001"/>
    <n v="60505"/>
    <n v="178.0865"/>
    <n v="74"/>
    <n v="5.0000000000000001E-3"/>
    <n v="2927"/>
    <n v="5.5E-2"/>
    <x v="1"/>
    <n v="59766.839"/>
    <n v="1"/>
    <x v="145"/>
  </r>
  <r>
    <s v="2wVF-GbH0Go"/>
    <x v="141"/>
    <x v="140"/>
    <n v="24"/>
    <n v="15"/>
    <n v="4"/>
    <n v="754"/>
    <n v="21"/>
    <n v="0.89600000000000002"/>
    <n v="32139"/>
    <n v="97.102500000000006"/>
    <n v="34"/>
    <n v="3.0000000000000001E-3"/>
    <n v="1764"/>
    <n v="5.5E-2"/>
    <x v="1"/>
    <n v="28796.543999999998"/>
    <n v="1"/>
    <x v="146"/>
  </r>
  <r>
    <s v="wrL4OIvzacA"/>
    <x v="142"/>
    <x v="141"/>
    <n v="22"/>
    <n v="5"/>
    <n v="0"/>
    <n v="153"/>
    <n v="19"/>
    <n v="0.88780000000000003"/>
    <n v="17159"/>
    <n v="45.710900000000002"/>
    <n v="13"/>
    <n v="2E-3"/>
    <n v="847"/>
    <n v="3.1899999999999998E-2"/>
    <x v="1"/>
    <n v="15233.760200000001"/>
    <n v="1"/>
    <x v="147"/>
  </r>
  <r>
    <s v=" -TbiO7WzOeM"/>
    <x v="143"/>
    <x v="142"/>
    <n v="23"/>
    <n v="2"/>
    <n v="2"/>
    <n v="340"/>
    <n v="21"/>
    <n v="0.91720000000000002"/>
    <n v="26087"/>
    <n v="91.565299999999993"/>
    <n v="29"/>
    <n v="3.0000000000000001E-3"/>
    <n v="876"/>
    <n v="0.04"/>
    <x v="1"/>
    <n v="23926.9964"/>
    <n v="1"/>
    <x v="148"/>
  </r>
  <r>
    <s v="eCu_6mV8cWA"/>
    <x v="144"/>
    <x v="143"/>
    <n v="31"/>
    <n v="15"/>
    <n v="4"/>
    <n v="632"/>
    <n v="18"/>
    <n v="0.59150000000000003"/>
    <n v="17180"/>
    <n v="36.713000000000001"/>
    <n v="38"/>
    <n v="3.0000000000000001E-3"/>
    <n v="1055"/>
    <n v="2.9399999999999999E-2"/>
    <x v="1"/>
    <n v="10161.970000000001"/>
    <n v="1"/>
    <x v="149"/>
  </r>
  <r>
    <s v="7WewignQjSs"/>
    <x v="145"/>
    <x v="144"/>
    <n v="30"/>
    <n v="111"/>
    <n v="12"/>
    <n v="2081"/>
    <n v="20"/>
    <n v="0.68289999999999995"/>
    <n v="89408"/>
    <n v="277.6551"/>
    <n v="54"/>
    <n v="0.33900000000000002"/>
    <n v="3720"/>
    <n v="4.5199999999999997E-2"/>
    <x v="1"/>
    <n v="61056.723200000008"/>
    <n v="1"/>
    <x v="150"/>
  </r>
  <r>
    <s v="dCbTDJ5ZusE"/>
    <x v="146"/>
    <x v="145"/>
    <n v="16"/>
    <n v="3"/>
    <n v="1"/>
    <n v="164"/>
    <n v="16"/>
    <n v="1.0346"/>
    <n v="15039"/>
    <n v="33.697200000000002"/>
    <n v="7"/>
    <n v="8.0000000000000002E-3"/>
    <n v="575"/>
    <n v="0.04"/>
    <x v="1"/>
    <n v="15559.349399999999"/>
    <n v="1"/>
    <x v="151"/>
  </r>
  <r>
    <s v="Rj3LPeR5XpE"/>
    <x v="147"/>
    <x v="146"/>
    <n v="20"/>
    <n v="1"/>
    <n v="3"/>
    <n v="333"/>
    <n v="16"/>
    <n v="0.80120000000000002"/>
    <n v="7090"/>
    <n v="16.336400000000001"/>
    <n v="39"/>
    <n v="0.17399999999999999"/>
    <n v="822"/>
    <n v="2.07E-2"/>
    <x v="1"/>
    <n v="5680.5079999999998"/>
    <n v="1"/>
    <x v="152"/>
  </r>
  <r>
    <s v="a4oRR-ZDB9Q"/>
    <x v="148"/>
    <x v="147"/>
    <n v="24"/>
    <n v="24"/>
    <n v="1"/>
    <n v="755"/>
    <n v="22"/>
    <n v="0.93320000000000003"/>
    <n v="28690"/>
    <n v="97.888999999999996"/>
    <n v="37"/>
    <n v="1.464"/>
    <n v="1159"/>
    <n v="5.9499999999999997E-2"/>
    <x v="1"/>
    <n v="26773.507999999998"/>
    <n v="1"/>
    <x v="15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3">
  <r>
    <x v="0"/>
    <n v="2"/>
    <n v="5"/>
    <n v="16"/>
    <n v="5"/>
    <n v="501"/>
    <n v="2.9601000000000002"/>
    <n v="36"/>
    <m/>
  </r>
  <r>
    <x v="1"/>
    <n v="0"/>
    <n v="1"/>
    <n v="3"/>
    <n v="0"/>
    <n v="10"/>
    <n v="4.58E-2"/>
    <n v="23"/>
    <m/>
  </r>
  <r>
    <x v="2"/>
    <n v="0"/>
    <n v="0"/>
    <n v="3"/>
    <n v="0"/>
    <n v="43"/>
    <n v="0.25209999999999999"/>
    <n v="35"/>
    <m/>
  </r>
  <r>
    <x v="3"/>
    <n v="0"/>
    <n v="4"/>
    <n v="11"/>
    <n v="1"/>
    <n v="23"/>
    <n v="0.1169"/>
    <n v="35"/>
    <m/>
  </r>
  <r>
    <x v="4"/>
    <n v="0"/>
    <n v="2"/>
    <n v="4"/>
    <n v="0"/>
    <n v="10"/>
    <n v="4.6399999999999997E-2"/>
    <n v="33"/>
    <m/>
  </r>
  <r>
    <x v="5"/>
    <n v="0"/>
    <n v="1"/>
    <n v="2"/>
    <n v="0"/>
    <n v="6"/>
    <n v="1.29E-2"/>
    <n v="21"/>
    <m/>
  </r>
  <r>
    <x v="6"/>
    <n v="0"/>
    <n v="1"/>
    <n v="7"/>
    <n v="1"/>
    <n v="74"/>
    <n v="0.1234"/>
    <n v="16"/>
    <m/>
  </r>
  <r>
    <x v="7"/>
    <n v="0"/>
    <n v="3"/>
    <n v="4"/>
    <n v="0"/>
    <n v="18"/>
    <n v="4.4600000000000001E-2"/>
    <n v="30"/>
    <m/>
  </r>
  <r>
    <x v="8"/>
    <n v="0"/>
    <n v="0"/>
    <n v="1"/>
    <n v="0"/>
    <n v="7"/>
    <n v="1.5299999999999999E-2"/>
    <n v="18"/>
    <m/>
  </r>
  <r>
    <x v="9"/>
    <n v="0"/>
    <n v="1"/>
    <n v="1"/>
    <n v="0"/>
    <n v="5"/>
    <n v="3.49E-2"/>
    <n v="31"/>
    <m/>
  </r>
  <r>
    <x v="10"/>
    <n v="0"/>
    <n v="1"/>
    <n v="1"/>
    <n v="0"/>
    <n v="5"/>
    <n v="1.2E-2"/>
    <n v="18"/>
    <m/>
  </r>
  <r>
    <x v="11"/>
    <n v="0"/>
    <n v="3"/>
    <n v="4"/>
    <n v="0"/>
    <n v="148"/>
    <n v="0.38240000000000002"/>
    <n v="18"/>
    <m/>
  </r>
  <r>
    <x v="12"/>
    <n v="0"/>
    <n v="1"/>
    <n v="2"/>
    <n v="0"/>
    <n v="22"/>
    <n v="3.1800000000000002E-2"/>
    <n v="14"/>
    <m/>
  </r>
  <r>
    <x v="13"/>
    <n v="0"/>
    <n v="0"/>
    <n v="2"/>
    <n v="0"/>
    <n v="9"/>
    <n v="1.3599999999999999E-2"/>
    <n v="8"/>
    <m/>
  </r>
  <r>
    <x v="14"/>
    <n v="0"/>
    <n v="0"/>
    <n v="0"/>
    <n v="0"/>
    <n v="12"/>
    <n v="2.7799999999999998E-2"/>
    <n v="15"/>
    <m/>
  </r>
  <r>
    <x v="15"/>
    <n v="0"/>
    <n v="0"/>
    <n v="0"/>
    <n v="0"/>
    <n v="1"/>
    <n v="2.0000000000000001E-4"/>
    <m/>
    <m/>
  </r>
  <r>
    <x v="16"/>
    <n v="0"/>
    <n v="0"/>
    <n v="0"/>
    <n v="0"/>
    <n v="1"/>
    <n v="0"/>
    <n v="0"/>
    <m/>
  </r>
  <r>
    <x v="17"/>
    <n v="0"/>
    <n v="0"/>
    <n v="0"/>
    <n v="0"/>
    <n v="0"/>
    <n v="0"/>
    <m/>
    <m/>
  </r>
  <r>
    <x v="18"/>
    <n v="1"/>
    <n v="6"/>
    <n v="13"/>
    <n v="0"/>
    <n v="915"/>
    <n v="2.5783999999999998"/>
    <n v="23"/>
    <m/>
  </r>
  <r>
    <x v="19"/>
    <n v="0"/>
    <n v="1"/>
    <n v="10"/>
    <n v="3"/>
    <n v="927"/>
    <n v="3.1806999999999999"/>
    <n v="25"/>
    <m/>
  </r>
  <r>
    <x v="20"/>
    <n v="0"/>
    <n v="3"/>
    <n v="31"/>
    <n v="0"/>
    <n v="1299"/>
    <n v="3.2145999999999999"/>
    <n v="19"/>
    <m/>
  </r>
  <r>
    <x v="21"/>
    <n v="0"/>
    <n v="0"/>
    <n v="14"/>
    <n v="0"/>
    <n v="610"/>
    <n v="3.1364999999999998"/>
    <n v="37"/>
    <m/>
  </r>
  <r>
    <x v="22"/>
    <n v="4"/>
    <n v="3"/>
    <n v="53"/>
    <n v="8"/>
    <n v="2895"/>
    <n v="6.8719999999999999"/>
    <n v="20"/>
    <m/>
  </r>
  <r>
    <x v="23"/>
    <n v="12"/>
    <n v="5"/>
    <n v="542"/>
    <n v="119"/>
    <n v="26746"/>
    <n v="73.660300000000007"/>
    <n v="21"/>
    <m/>
  </r>
  <r>
    <x v="24"/>
    <n v="13"/>
    <n v="3"/>
    <n v="433"/>
    <n v="77"/>
    <n v="18480"/>
    <n v="54.8127"/>
    <n v="19"/>
    <m/>
  </r>
  <r>
    <x v="25"/>
    <n v="16"/>
    <n v="4"/>
    <n v="543"/>
    <n v="69"/>
    <n v="26373"/>
    <n v="80.423500000000004"/>
    <n v="19"/>
    <m/>
  </r>
  <r>
    <x v="26"/>
    <n v="40"/>
    <n v="9"/>
    <n v="1022"/>
    <n v="185"/>
    <n v="36478"/>
    <n v="110.08540000000001"/>
    <n v="21"/>
    <m/>
  </r>
  <r>
    <x v="27"/>
    <n v="30"/>
    <n v="2"/>
    <n v="715"/>
    <n v="86"/>
    <n v="24315"/>
    <n v="66.811800000000005"/>
    <n v="19"/>
    <m/>
  </r>
  <r>
    <x v="28"/>
    <n v="77"/>
    <n v="21"/>
    <n v="2144"/>
    <n v="286"/>
    <n v="100091"/>
    <n v="307.85599999999999"/>
    <n v="21"/>
    <m/>
  </r>
  <r>
    <x v="29"/>
    <n v="52"/>
    <n v="10"/>
    <n v="972"/>
    <n v="141"/>
    <n v="68075"/>
    <n v="200.85730000000001"/>
    <n v="21"/>
    <m/>
  </r>
  <r>
    <x v="30"/>
    <n v="111"/>
    <n v="20"/>
    <n v="2180"/>
    <n v="328"/>
    <n v="152070"/>
    <n v="471.03410000000002"/>
    <n v="22"/>
    <m/>
  </r>
  <r>
    <x v="31"/>
    <n v="212"/>
    <n v="23"/>
    <n v="3727"/>
    <n v="606"/>
    <n v="235718"/>
    <n v="717.86260000000004"/>
    <n v="21"/>
    <m/>
  </r>
  <r>
    <x v="32"/>
    <n v="253"/>
    <n v="18"/>
    <n v="4873"/>
    <n v="760"/>
    <n v="311339"/>
    <n v="921.40509999999995"/>
    <n v="20"/>
    <m/>
  </r>
  <r>
    <x v="33"/>
    <n v="288"/>
    <n v="39"/>
    <n v="7797"/>
    <n v="1040"/>
    <n v="395240"/>
    <n v="1220.7950000000001"/>
    <n v="21"/>
    <m/>
  </r>
  <r>
    <x v="34"/>
    <n v="450"/>
    <n v="45"/>
    <n v="9618"/>
    <n v="1260"/>
    <n v="553169"/>
    <n v="1628.2710999999999"/>
    <n v="20"/>
    <m/>
  </r>
  <r>
    <x v="35"/>
    <n v="557"/>
    <n v="47"/>
    <n v="10452"/>
    <n v="1407"/>
    <n v="665223"/>
    <n v="1883.7965999999999"/>
    <n v="19"/>
    <m/>
  </r>
  <r>
    <x v="36"/>
    <n v="412"/>
    <n v="50"/>
    <n v="7499"/>
    <n v="1078"/>
    <n v="508945"/>
    <n v="1423.3835999999999"/>
    <n v="19"/>
    <m/>
  </r>
  <r>
    <x v="37"/>
    <n v="361"/>
    <n v="23"/>
    <n v="5415"/>
    <n v="755"/>
    <n v="369874"/>
    <n v="1040.8868"/>
    <n v="19"/>
    <m/>
  </r>
  <r>
    <x v="38"/>
    <n v="364"/>
    <n v="29"/>
    <n v="5062"/>
    <n v="742"/>
    <n v="311482"/>
    <n v="864.94460000000004"/>
    <n v="19"/>
    <m/>
  </r>
  <r>
    <x v="39"/>
    <n v="395"/>
    <n v="41"/>
    <n v="7091"/>
    <n v="881"/>
    <n v="356464"/>
    <n v="1006.4615"/>
    <n v="19"/>
    <m/>
  </r>
  <r>
    <x v="40"/>
    <n v="447"/>
    <n v="32"/>
    <n v="8892"/>
    <n v="972"/>
    <n v="387909"/>
    <n v="1110.8072"/>
    <n v="19"/>
    <m/>
  </r>
  <r>
    <x v="41"/>
    <n v="253"/>
    <n v="33"/>
    <n v="5044"/>
    <n v="648"/>
    <n v="271097"/>
    <n v="764.82060000000001"/>
    <n v="19"/>
    <m/>
  </r>
  <r>
    <x v="42"/>
    <n v="197"/>
    <n v="11"/>
    <n v="3756"/>
    <n v="472"/>
    <n v="177713"/>
    <n v="508.9966"/>
    <n v="19"/>
    <m/>
  </r>
  <r>
    <x v="43"/>
    <n v="154"/>
    <n v="13"/>
    <n v="2940"/>
    <n v="387"/>
    <n v="155404"/>
    <n v="443.74040000000002"/>
    <n v="19"/>
    <m/>
  </r>
  <r>
    <x v="44"/>
    <n v="160"/>
    <n v="22"/>
    <n v="3681"/>
    <n v="485"/>
    <n v="204966"/>
    <n v="573.85289999999998"/>
    <n v="19"/>
    <m/>
  </r>
  <r>
    <x v="45"/>
    <n v="218"/>
    <n v="39"/>
    <n v="4885"/>
    <n v="687"/>
    <n v="286884"/>
    <n v="812.10820000000001"/>
    <n v="19"/>
    <m/>
  </r>
  <r>
    <x v="46"/>
    <n v="93"/>
    <n v="11"/>
    <n v="1873"/>
    <n v="275"/>
    <n v="110683"/>
    <n v="310.49779999999998"/>
    <n v="19"/>
    <m/>
  </r>
  <r>
    <x v="47"/>
    <n v="57"/>
    <n v="6"/>
    <n v="1095"/>
    <n v="166"/>
    <n v="71928"/>
    <n v="198.40309999999999"/>
    <n v="18"/>
    <m/>
  </r>
  <r>
    <x v="48"/>
    <n v="60"/>
    <n v="5"/>
    <n v="1360"/>
    <n v="203"/>
    <n v="102499"/>
    <n v="282.8845"/>
    <n v="18"/>
    <m/>
  </r>
  <r>
    <x v="49"/>
    <n v="87"/>
    <n v="16"/>
    <n v="1955"/>
    <n v="272"/>
    <n v="114307"/>
    <n v="324.72789999999998"/>
    <n v="19"/>
    <m/>
  </r>
  <r>
    <x v="50"/>
    <n v="68"/>
    <n v="21"/>
    <n v="2185"/>
    <n v="310"/>
    <n v="121780"/>
    <n v="368.5684"/>
    <n v="20"/>
    <m/>
  </r>
  <r>
    <x v="51"/>
    <n v="113"/>
    <n v="14"/>
    <n v="2155"/>
    <n v="252"/>
    <n v="121481"/>
    <n v="366.86450000000002"/>
    <n v="20"/>
    <m/>
  </r>
  <r>
    <x v="52"/>
    <n v="201"/>
    <n v="25"/>
    <n v="3646"/>
    <n v="502"/>
    <n v="255427"/>
    <n v="719.81910000000005"/>
    <n v="19"/>
    <m/>
  </r>
  <r>
    <x v="53"/>
    <n v="192"/>
    <n v="33"/>
    <n v="3387"/>
    <n v="503"/>
    <n v="252205"/>
    <n v="713.31269999999995"/>
    <n v="19"/>
    <m/>
  </r>
  <r>
    <x v="54"/>
    <n v="225"/>
    <n v="36"/>
    <n v="4911"/>
    <n v="713"/>
    <n v="343881"/>
    <n v="999.85630000000003"/>
    <n v="19"/>
    <m/>
  </r>
  <r>
    <x v="55"/>
    <n v="134"/>
    <n v="21"/>
    <n v="3040"/>
    <n v="451"/>
    <n v="231992"/>
    <n v="656.76880000000006"/>
    <n v="19"/>
    <m/>
  </r>
  <r>
    <x v="56"/>
    <n v="116"/>
    <n v="34"/>
    <n v="3183"/>
    <n v="455"/>
    <n v="223380"/>
    <n v="648.51390000000004"/>
    <n v="19"/>
    <m/>
  </r>
  <r>
    <x v="57"/>
    <n v="166"/>
    <n v="24"/>
    <n v="3577"/>
    <n v="570"/>
    <n v="212987"/>
    <n v="645.06949999999995"/>
    <n v="20"/>
    <m/>
  </r>
  <r>
    <x v="58"/>
    <n v="103"/>
    <n v="21"/>
    <n v="2452"/>
    <n v="360"/>
    <n v="227650"/>
    <n v="654.83090000000004"/>
    <n v="19"/>
    <m/>
  </r>
  <r>
    <x v="59"/>
    <n v="117"/>
    <n v="15"/>
    <n v="2466"/>
    <n v="383"/>
    <n v="233779"/>
    <n v="648.10429999999997"/>
    <n v="19"/>
    <m/>
  </r>
  <r>
    <x v="60"/>
    <n v="77"/>
    <n v="15"/>
    <n v="1646"/>
    <n v="227"/>
    <n v="153893"/>
    <n v="439.46159999999998"/>
    <n v="19"/>
    <m/>
  </r>
  <r>
    <x v="61"/>
    <n v="97"/>
    <n v="17"/>
    <n v="2306"/>
    <n v="231"/>
    <n v="162488"/>
    <n v="479.1635"/>
    <n v="20"/>
    <m/>
  </r>
  <r>
    <x v="62"/>
    <n v="93"/>
    <n v="16"/>
    <n v="2897"/>
    <n v="382"/>
    <n v="167486"/>
    <n v="485.55990000000003"/>
    <n v="19"/>
    <m/>
  </r>
  <r>
    <x v="63"/>
    <n v="64"/>
    <n v="5"/>
    <n v="987"/>
    <n v="146"/>
    <n v="77175"/>
    <n v="213.37520000000001"/>
    <n v="19"/>
    <m/>
  </r>
  <r>
    <x v="64"/>
    <n v="66"/>
    <n v="9"/>
    <n v="2004"/>
    <n v="308"/>
    <n v="116621"/>
    <n v="328.52499999999998"/>
    <n v="19"/>
    <m/>
  </r>
  <r>
    <x v="65"/>
    <n v="161"/>
    <n v="39"/>
    <n v="3236"/>
    <n v="473"/>
    <n v="261450"/>
    <n v="740.94090000000006"/>
    <n v="19"/>
    <m/>
  </r>
  <r>
    <x v="66"/>
    <n v="295"/>
    <n v="44"/>
    <n v="4852"/>
    <n v="649"/>
    <n v="300480"/>
    <n v="883.67780000000005"/>
    <n v="20"/>
    <m/>
  </r>
  <r>
    <x v="67"/>
    <n v="197"/>
    <n v="34"/>
    <n v="3138"/>
    <n v="423"/>
    <n v="197505"/>
    <n v="572.88670000000002"/>
    <n v="20"/>
    <m/>
  </r>
  <r>
    <x v="68"/>
    <n v="48"/>
    <n v="13"/>
    <n v="884"/>
    <n v="113"/>
    <n v="61653"/>
    <n v="172.29519999999999"/>
    <n v="19"/>
    <m/>
  </r>
  <r>
    <x v="69"/>
    <n v="90"/>
    <n v="17"/>
    <n v="2053"/>
    <n v="285"/>
    <n v="126903"/>
    <n v="359.92200000000003"/>
    <n v="19"/>
    <m/>
  </r>
  <r>
    <x v="70"/>
    <n v="104"/>
    <n v="16"/>
    <n v="2510"/>
    <n v="386"/>
    <n v="192935"/>
    <n v="546.60789999999997"/>
    <n v="20"/>
    <m/>
  </r>
  <r>
    <x v="71"/>
    <n v="66"/>
    <n v="14"/>
    <n v="1806"/>
    <n v="308"/>
    <n v="134754"/>
    <n v="387.15199999999999"/>
    <n v="19"/>
    <m/>
  </r>
  <r>
    <x v="72"/>
    <n v="145"/>
    <n v="34"/>
    <n v="3009"/>
    <n v="499"/>
    <n v="228357"/>
    <n v="661.96339999999998"/>
    <n v="19"/>
    <m/>
  </r>
  <r>
    <x v="73"/>
    <n v="162"/>
    <n v="43"/>
    <n v="3448"/>
    <n v="568"/>
    <n v="291866"/>
    <n v="839.91380000000004"/>
    <n v="19"/>
    <m/>
  </r>
  <r>
    <x v="74"/>
    <n v="141"/>
    <n v="30"/>
    <n v="2917"/>
    <n v="405"/>
    <n v="258059"/>
    <n v="712.33410000000003"/>
    <n v="19"/>
    <m/>
  </r>
  <r>
    <x v="75"/>
    <n v="93"/>
    <n v="22"/>
    <n v="2473"/>
    <n v="269"/>
    <n v="220493"/>
    <n v="620.70129999999995"/>
    <n v="19"/>
    <m/>
  </r>
  <r>
    <x v="76"/>
    <n v="42"/>
    <n v="13"/>
    <n v="2526"/>
    <n v="199"/>
    <n v="261130"/>
    <n v="707.3433"/>
    <n v="18"/>
    <m/>
  </r>
  <r>
    <x v="77"/>
    <n v="37"/>
    <n v="9"/>
    <n v="3441"/>
    <n v="145"/>
    <n v="384234"/>
    <n v="1045.1785"/>
    <n v="18"/>
    <m/>
  </r>
  <r>
    <x v="78"/>
    <n v="31"/>
    <n v="4"/>
    <n v="2331"/>
    <n v="107"/>
    <n v="222815"/>
    <n v="602.38679999999999"/>
    <n v="18"/>
    <m/>
  </r>
  <r>
    <x v="79"/>
    <n v="33"/>
    <n v="6"/>
    <n v="2535"/>
    <n v="111"/>
    <n v="215835"/>
    <n v="593.76660000000004"/>
    <n v="18"/>
    <m/>
  </r>
  <r>
    <x v="80"/>
    <n v="33"/>
    <n v="3"/>
    <n v="1512"/>
    <n v="78"/>
    <n v="151959"/>
    <n v="390.13749999999999"/>
    <n v="17"/>
    <m/>
  </r>
  <r>
    <x v="81"/>
    <n v="9"/>
    <n v="4"/>
    <n v="892"/>
    <n v="44"/>
    <n v="89182"/>
    <n v="233.37090000000001"/>
    <n v="17"/>
    <m/>
  </r>
  <r>
    <x v="82"/>
    <n v="8"/>
    <n v="1"/>
    <n v="338"/>
    <n v="8"/>
    <n v="35939"/>
    <n v="96.543499999999995"/>
    <n v="17"/>
    <m/>
  </r>
  <r>
    <x v="83"/>
    <n v="8"/>
    <n v="1"/>
    <n v="306"/>
    <n v="9"/>
    <n v="33252"/>
    <n v="92.173299999999998"/>
    <n v="18"/>
    <m/>
  </r>
  <r>
    <x v="84"/>
    <n v="8"/>
    <n v="0"/>
    <n v="128"/>
    <n v="5"/>
    <n v="15899"/>
    <n v="45.267699999999998"/>
    <n v="18"/>
    <m/>
  </r>
  <r>
    <x v="85"/>
    <n v="2"/>
    <n v="0"/>
    <n v="88"/>
    <n v="2"/>
    <n v="15769"/>
    <n v="43.575800000000001"/>
    <n v="17"/>
    <m/>
  </r>
  <r>
    <x v="86"/>
    <n v="4"/>
    <n v="0"/>
    <n v="155"/>
    <n v="3"/>
    <n v="30882"/>
    <n v="91.8994"/>
    <n v="18"/>
    <m/>
  </r>
  <r>
    <x v="87"/>
    <n v="1"/>
    <n v="0"/>
    <n v="230"/>
    <n v="11"/>
    <n v="35402"/>
    <n v="102.1063"/>
    <n v="17"/>
    <m/>
  </r>
  <r>
    <x v="88"/>
    <n v="3"/>
    <n v="1"/>
    <n v="184"/>
    <n v="7"/>
    <n v="33276"/>
    <n v="100.84780000000001"/>
    <n v="18"/>
    <m/>
  </r>
  <r>
    <x v="89"/>
    <n v="2"/>
    <n v="2"/>
    <n v="475"/>
    <n v="8"/>
    <n v="61432"/>
    <n v="194.54920000000001"/>
    <n v="19"/>
    <m/>
  </r>
  <r>
    <x v="90"/>
    <n v="4"/>
    <n v="1"/>
    <n v="620"/>
    <n v="14"/>
    <n v="81496"/>
    <n v="266.18509999999998"/>
    <n v="19"/>
    <m/>
  </r>
  <r>
    <x v="91"/>
    <n v="8"/>
    <n v="0"/>
    <n v="1092"/>
    <n v="31"/>
    <n v="118929"/>
    <n v="396.49470000000002"/>
    <n v="20"/>
    <m/>
  </r>
  <r>
    <x v="92"/>
    <n v="9"/>
    <n v="1"/>
    <n v="1159"/>
    <n v="54"/>
    <n v="134047"/>
    <n v="458.28429999999997"/>
    <n v="20"/>
    <m/>
  </r>
  <r>
    <x v="93"/>
    <n v="8"/>
    <n v="1"/>
    <n v="611"/>
    <n v="16"/>
    <n v="67239"/>
    <n v="224.6962"/>
    <n v="20"/>
    <m/>
  </r>
  <r>
    <x v="94"/>
    <n v="25"/>
    <n v="3"/>
    <n v="2000"/>
    <n v="161"/>
    <n v="285951"/>
    <n v="852.40589999999997"/>
    <n v="20"/>
    <m/>
  </r>
  <r>
    <x v="95"/>
    <n v="82"/>
    <n v="6"/>
    <n v="4812"/>
    <n v="380"/>
    <n v="968481"/>
    <n v="2736.6667000000002"/>
    <n v="19"/>
    <m/>
  </r>
  <r>
    <x v="96"/>
    <n v="14"/>
    <n v="1"/>
    <n v="1125"/>
    <n v="36"/>
    <n v="129584"/>
    <n v="421.46940000000001"/>
    <n v="20"/>
    <m/>
  </r>
  <r>
    <x v="97"/>
    <n v="5"/>
    <n v="1"/>
    <n v="957"/>
    <n v="20"/>
    <n v="97995"/>
    <n v="329.26870000000002"/>
    <n v="20"/>
    <m/>
  </r>
  <r>
    <x v="98"/>
    <n v="3"/>
    <n v="0"/>
    <n v="813"/>
    <n v="25"/>
    <n v="76335"/>
    <n v="239.54560000000001"/>
    <n v="19"/>
    <m/>
  </r>
  <r>
    <x v="99"/>
    <n v="19"/>
    <n v="3"/>
    <n v="991"/>
    <n v="25"/>
    <n v="94331"/>
    <n v="291.577"/>
    <n v="19"/>
    <m/>
  </r>
  <r>
    <x v="100"/>
    <n v="11"/>
    <n v="10"/>
    <n v="1453"/>
    <n v="48"/>
    <n v="155755"/>
    <n v="448.88049999999998"/>
    <n v="19"/>
    <m/>
  </r>
  <r>
    <x v="101"/>
    <n v="16"/>
    <n v="6"/>
    <n v="4837"/>
    <n v="164"/>
    <n v="344635"/>
    <n v="979.24009999999998"/>
    <n v="19"/>
    <m/>
  </r>
  <r>
    <x v="102"/>
    <n v="25"/>
    <n v="4"/>
    <n v="4185"/>
    <n v="101"/>
    <n v="405316"/>
    <n v="1067.0808"/>
    <n v="17"/>
    <m/>
  </r>
  <r>
    <x v="103"/>
    <n v="49"/>
    <n v="11"/>
    <n v="10731"/>
    <n v="313"/>
    <n v="999215"/>
    <n v="2626.7406999999998"/>
    <n v="17"/>
    <m/>
  </r>
  <r>
    <x v="104"/>
    <n v="92"/>
    <n v="16"/>
    <n v="13157"/>
    <n v="423"/>
    <n v="1286189"/>
    <n v="3351.6826999999998"/>
    <n v="17"/>
    <m/>
  </r>
  <r>
    <x v="105"/>
    <n v="73"/>
    <n v="23"/>
    <n v="15535"/>
    <n v="591"/>
    <n v="2144549"/>
    <n v="5506.857"/>
    <n v="18"/>
    <m/>
  </r>
  <r>
    <x v="106"/>
    <n v="75"/>
    <n v="7"/>
    <n v="8993"/>
    <n v="418"/>
    <n v="1331178"/>
    <n v="3415.5209"/>
    <n v="18"/>
    <m/>
  </r>
  <r>
    <x v="107"/>
    <n v="47"/>
    <n v="11"/>
    <n v="7586"/>
    <n v="277"/>
    <n v="988330"/>
    <n v="2578.9360999999999"/>
    <n v="18"/>
    <m/>
  </r>
  <r>
    <x v="108"/>
    <n v="23"/>
    <n v="6"/>
    <n v="3291"/>
    <n v="92"/>
    <n v="337541"/>
    <n v="868.46429999999998"/>
    <n v="17"/>
    <m/>
  </r>
  <r>
    <x v="109"/>
    <n v="17"/>
    <n v="1"/>
    <n v="1822"/>
    <n v="32"/>
    <n v="197871"/>
    <n v="514.44970000000001"/>
    <n v="18"/>
    <m/>
  </r>
  <r>
    <x v="110"/>
    <n v="12"/>
    <n v="4"/>
    <n v="2203"/>
    <n v="52"/>
    <n v="204434"/>
    <n v="529.27890000000002"/>
    <n v="17"/>
    <m/>
  </r>
  <r>
    <x v="111"/>
    <n v="22"/>
    <n v="5"/>
    <n v="2546"/>
    <n v="64"/>
    <n v="293085"/>
    <n v="746.23519999999996"/>
    <n v="17"/>
    <m/>
  </r>
  <r>
    <x v="112"/>
    <n v="9"/>
    <n v="0"/>
    <n v="1415"/>
    <n v="27"/>
    <n v="178170"/>
    <n v="455.58780000000002"/>
    <n v="18"/>
    <m/>
  </r>
  <r>
    <x v="113"/>
    <n v="12"/>
    <n v="3"/>
    <n v="1899"/>
    <n v="37"/>
    <n v="193562"/>
    <n v="499.96300000000002"/>
    <n v="18"/>
    <m/>
  </r>
  <r>
    <x v="114"/>
    <n v="15"/>
    <n v="3"/>
    <n v="1961"/>
    <n v="36"/>
    <n v="191987"/>
    <n v="494.6472"/>
    <n v="17"/>
    <m/>
  </r>
  <r>
    <x v="115"/>
    <n v="10"/>
    <n v="3"/>
    <n v="2090"/>
    <n v="56"/>
    <n v="239127"/>
    <n v="625.47929999999997"/>
    <n v="18"/>
    <m/>
  </r>
  <r>
    <x v="116"/>
    <n v="12"/>
    <n v="3"/>
    <n v="1752"/>
    <n v="46"/>
    <n v="167178"/>
    <n v="442.6173"/>
    <n v="18"/>
    <m/>
  </r>
  <r>
    <x v="117"/>
    <n v="13"/>
    <n v="3"/>
    <n v="3403"/>
    <n v="157"/>
    <n v="626216"/>
    <n v="1702.8825999999999"/>
    <n v="17"/>
    <m/>
  </r>
  <r>
    <x v="118"/>
    <n v="20"/>
    <n v="6"/>
    <n v="2393"/>
    <n v="105"/>
    <n v="382952"/>
    <n v="1027.8257000000001"/>
    <n v="17"/>
    <m/>
  </r>
  <r>
    <x v="119"/>
    <n v="11"/>
    <n v="1"/>
    <n v="1820"/>
    <n v="91"/>
    <n v="305799"/>
    <n v="826.41030000000001"/>
    <n v="17"/>
    <m/>
  </r>
  <r>
    <x v="120"/>
    <n v="30"/>
    <n v="5"/>
    <n v="3224"/>
    <n v="122"/>
    <n v="441080"/>
    <n v="1164.4392"/>
    <n v="17"/>
    <m/>
  </r>
  <r>
    <x v="121"/>
    <n v="16"/>
    <n v="11"/>
    <n v="3648"/>
    <n v="137"/>
    <n v="416739"/>
    <n v="1098.0119"/>
    <n v="17"/>
    <m/>
  </r>
  <r>
    <x v="122"/>
    <n v="47"/>
    <n v="9"/>
    <n v="3305"/>
    <n v="130"/>
    <n v="338332"/>
    <n v="888.49310000000003"/>
    <n v="18"/>
    <m/>
  </r>
  <r>
    <x v="123"/>
    <n v="20"/>
    <n v="4"/>
    <n v="2004"/>
    <n v="78"/>
    <n v="192406"/>
    <n v="492.77210000000002"/>
    <n v="18"/>
    <m/>
  </r>
  <r>
    <x v="124"/>
    <n v="14"/>
    <n v="4"/>
    <n v="1633"/>
    <n v="39"/>
    <n v="133302"/>
    <n v="346.2097"/>
    <n v="18"/>
    <m/>
  </r>
  <r>
    <x v="125"/>
    <n v="40"/>
    <n v="1"/>
    <n v="3114"/>
    <n v="79"/>
    <n v="196948"/>
    <n v="541.04989999999998"/>
    <n v="19"/>
    <m/>
  </r>
  <r>
    <x v="126"/>
    <n v="83"/>
    <n v="14"/>
    <n v="3556"/>
    <n v="89"/>
    <n v="243336"/>
    <n v="690.07989999999995"/>
    <n v="19"/>
    <m/>
  </r>
  <r>
    <x v="127"/>
    <n v="82"/>
    <n v="17"/>
    <n v="3907"/>
    <n v="86"/>
    <n v="262662"/>
    <n v="740.69880000000001"/>
    <n v="19"/>
    <m/>
  </r>
  <r>
    <x v="128"/>
    <n v="257"/>
    <n v="21"/>
    <n v="12461"/>
    <n v="213"/>
    <n v="828365"/>
    <n v="2506.5189"/>
    <n v="19"/>
    <m/>
  </r>
  <r>
    <x v="129"/>
    <n v="319"/>
    <n v="11"/>
    <n v="16841"/>
    <n v="326"/>
    <n v="990213"/>
    <n v="3067.5877"/>
    <n v="20"/>
    <m/>
  </r>
  <r>
    <x v="130"/>
    <n v="299"/>
    <n v="27"/>
    <n v="15173"/>
    <n v="256"/>
    <n v="675235"/>
    <n v="2165.2161000000001"/>
    <n v="20"/>
    <m/>
  </r>
  <r>
    <x v="131"/>
    <n v="475"/>
    <n v="39"/>
    <n v="22926"/>
    <n v="377"/>
    <n v="856205"/>
    <n v="2812.962"/>
    <n v="21"/>
    <m/>
  </r>
  <r>
    <x v="132"/>
    <n v="265"/>
    <n v="23"/>
    <n v="14499"/>
    <n v="323"/>
    <n v="719801"/>
    <n v="2323.2175999999999"/>
    <n v="20"/>
    <m/>
  </r>
  <r>
    <x v="133"/>
    <n v="193"/>
    <n v="16"/>
    <n v="8135"/>
    <n v="144"/>
    <n v="453587"/>
    <n v="1411.6347000000001"/>
    <n v="20"/>
    <m/>
  </r>
  <r>
    <x v="134"/>
    <n v="100"/>
    <n v="9"/>
    <n v="4132"/>
    <n v="74"/>
    <n v="202185"/>
    <n v="664.78240000000005"/>
    <n v="20"/>
    <m/>
  </r>
  <r>
    <x v="135"/>
    <n v="86"/>
    <n v="10"/>
    <n v="4205"/>
    <n v="82"/>
    <n v="210192"/>
    <n v="709.96699999999998"/>
    <n v="21"/>
    <m/>
  </r>
  <r>
    <x v="136"/>
    <n v="60"/>
    <n v="7"/>
    <n v="3160"/>
    <n v="19"/>
    <n v="148951"/>
    <n v="491.67939999999999"/>
    <n v="21"/>
    <m/>
  </r>
  <r>
    <x v="137"/>
    <n v="38"/>
    <n v="2"/>
    <n v="1847"/>
    <n v="18"/>
    <n v="87955"/>
    <n v="290.6721"/>
    <n v="21"/>
    <m/>
  </r>
  <r>
    <x v="138"/>
    <n v="15"/>
    <n v="3"/>
    <n v="968"/>
    <n v="28"/>
    <n v="44882"/>
    <n v="143.46879999999999"/>
    <n v="20"/>
    <m/>
  </r>
  <r>
    <x v="139"/>
    <n v="50"/>
    <n v="4"/>
    <n v="2130"/>
    <n v="19"/>
    <n v="71867"/>
    <n v="220.19970000000001"/>
    <n v="20"/>
    <m/>
  </r>
  <r>
    <x v="140"/>
    <n v="94"/>
    <n v="3"/>
    <n v="2553"/>
    <n v="30"/>
    <n v="133971"/>
    <n v="340.33690000000001"/>
    <n v="17"/>
    <m/>
  </r>
  <r>
    <x v="141"/>
    <n v="37"/>
    <n v="9"/>
    <n v="1696"/>
    <n v="38"/>
    <n v="100511"/>
    <n v="261.15179999999998"/>
    <n v="17"/>
    <m/>
  </r>
  <r>
    <x v="142"/>
    <n v="28"/>
    <n v="4"/>
    <n v="1231"/>
    <n v="52"/>
    <n v="190761"/>
    <n v="450.46899999999999"/>
    <n v="16"/>
    <m/>
  </r>
  <r>
    <x v="143"/>
    <n v="27"/>
    <n v="4"/>
    <n v="819"/>
    <n v="18"/>
    <n v="52709"/>
    <n v="175.7372"/>
    <n v="21"/>
    <m/>
  </r>
  <r>
    <x v="144"/>
    <n v="16"/>
    <n v="1"/>
    <n v="444"/>
    <n v="12"/>
    <n v="20632"/>
    <n v="63.822800000000001"/>
    <n v="20"/>
    <m/>
  </r>
  <r>
    <x v="145"/>
    <n v="30"/>
    <n v="3"/>
    <n v="974"/>
    <n v="55"/>
    <n v="49829"/>
    <n v="150.76070000000001"/>
    <n v="20"/>
    <m/>
  </r>
  <r>
    <x v="146"/>
    <n v="19"/>
    <n v="2"/>
    <n v="372"/>
    <n v="3"/>
    <n v="25165"/>
    <n v="70.358900000000006"/>
    <n v="19"/>
    <m/>
  </r>
  <r>
    <x v="147"/>
    <n v="11"/>
    <n v="0"/>
    <n v="324"/>
    <n v="10"/>
    <n v="40634"/>
    <n v="133.3819"/>
    <n v="20"/>
    <m/>
  </r>
  <r>
    <x v="148"/>
    <n v="12"/>
    <n v="2"/>
    <n v="821"/>
    <n v="19"/>
    <n v="51992"/>
    <n v="170.6934"/>
    <n v="21"/>
    <m/>
  </r>
  <r>
    <x v="149"/>
    <n v="12"/>
    <n v="0"/>
    <n v="825"/>
    <n v="16"/>
    <n v="67315"/>
    <n v="203.82079999999999"/>
    <n v="20"/>
    <m/>
  </r>
  <r>
    <x v="150"/>
    <n v="7"/>
    <n v="2"/>
    <n v="1008"/>
    <n v="22"/>
    <n v="91847"/>
    <n v="241.95160000000001"/>
    <n v="17"/>
    <m/>
  </r>
  <r>
    <x v="151"/>
    <n v="24"/>
    <n v="0"/>
    <n v="1373"/>
    <n v="32"/>
    <n v="94447"/>
    <n v="267.17329999999998"/>
    <n v="18"/>
    <m/>
  </r>
  <r>
    <x v="152"/>
    <n v="38"/>
    <n v="4"/>
    <n v="1645"/>
    <n v="51"/>
    <n v="90913"/>
    <n v="254.37569999999999"/>
    <n v="18"/>
    <m/>
  </r>
  <r>
    <x v="153"/>
    <n v="8"/>
    <n v="0"/>
    <n v="840"/>
    <n v="16"/>
    <n v="71323"/>
    <n v="189.1523"/>
    <n v="18"/>
    <m/>
  </r>
  <r>
    <x v="154"/>
    <n v="9"/>
    <n v="2"/>
    <n v="990"/>
    <n v="9"/>
    <n v="91209"/>
    <n v="244.69229999999999"/>
    <n v="18"/>
    <m/>
  </r>
  <r>
    <x v="155"/>
    <n v="21"/>
    <n v="2"/>
    <n v="1752"/>
    <n v="51"/>
    <n v="132309"/>
    <n v="367.50979999999998"/>
    <n v="18"/>
    <m/>
  </r>
  <r>
    <x v="156"/>
    <n v="15"/>
    <n v="4"/>
    <n v="1409"/>
    <n v="30"/>
    <n v="85857"/>
    <n v="248.38630000000001"/>
    <n v="19"/>
    <m/>
  </r>
  <r>
    <x v="157"/>
    <n v="10"/>
    <n v="2"/>
    <n v="656"/>
    <n v="17"/>
    <n v="61313"/>
    <n v="165.5573"/>
    <n v="17"/>
    <m/>
  </r>
  <r>
    <x v="158"/>
    <n v="15"/>
    <n v="2"/>
    <n v="701"/>
    <n v="15"/>
    <n v="71331"/>
    <n v="188.46889999999999"/>
    <n v="17"/>
    <m/>
  </r>
  <r>
    <x v="159"/>
    <n v="31"/>
    <n v="7"/>
    <n v="955"/>
    <n v="74"/>
    <n v="73077"/>
    <n v="210.22229999999999"/>
    <n v="19"/>
    <m/>
  </r>
  <r>
    <x v="160"/>
    <n v="43"/>
    <n v="9"/>
    <n v="715"/>
    <n v="64"/>
    <n v="74650"/>
    <n v="196.1327"/>
    <n v="18"/>
    <m/>
  </r>
  <r>
    <x v="161"/>
    <n v="39"/>
    <n v="6"/>
    <n v="732"/>
    <n v="8"/>
    <n v="39086"/>
    <n v="130.6925"/>
    <n v="22"/>
    <m/>
  </r>
  <r>
    <x v="162"/>
    <n v="17"/>
    <n v="2"/>
    <n v="582"/>
    <n v="2"/>
    <n v="37546"/>
    <n v="111.4289"/>
    <n v="19"/>
    <m/>
  </r>
  <r>
    <x v="163"/>
    <n v="6"/>
    <n v="3"/>
    <n v="212"/>
    <n v="10"/>
    <n v="16410"/>
    <n v="51.958399999999997"/>
    <n v="20"/>
    <m/>
  </r>
  <r>
    <x v="164"/>
    <n v="16"/>
    <n v="3"/>
    <n v="740"/>
    <n v="30"/>
    <n v="31921"/>
    <n v="126.8755"/>
    <n v="25"/>
    <m/>
  </r>
  <r>
    <x v="165"/>
    <n v="17"/>
    <n v="6"/>
    <n v="505"/>
    <n v="30"/>
    <n v="37369"/>
    <n v="118.2274"/>
    <n v="20"/>
    <m/>
  </r>
  <r>
    <x v="166"/>
    <n v="72"/>
    <n v="6"/>
    <n v="927"/>
    <n v="68"/>
    <n v="81484"/>
    <n v="228.24639999999999"/>
    <n v="20"/>
    <m/>
  </r>
  <r>
    <x v="167"/>
    <n v="12"/>
    <n v="1"/>
    <n v="332"/>
    <n v="-3"/>
    <n v="19039"/>
    <n v="56.947899999999997"/>
    <n v="19"/>
    <m/>
  </r>
  <r>
    <x v="168"/>
    <n v="35"/>
    <n v="3"/>
    <n v="1085"/>
    <n v="40"/>
    <n v="62001"/>
    <n v="189.1635"/>
    <n v="20"/>
    <m/>
  </r>
  <r>
    <x v="169"/>
    <n v="15"/>
    <n v="0"/>
    <n v="553"/>
    <n v="16"/>
    <n v="34639"/>
    <n v="103.9949"/>
    <n v="20"/>
    <m/>
  </r>
  <r>
    <x v="170"/>
    <n v="14"/>
    <n v="4"/>
    <n v="821"/>
    <n v="37"/>
    <n v="46258"/>
    <n v="150.0461"/>
    <n v="20"/>
    <m/>
  </r>
  <r>
    <x v="171"/>
    <n v="43"/>
    <n v="7"/>
    <n v="1547"/>
    <n v="45"/>
    <n v="49644"/>
    <n v="157.33699999999999"/>
    <n v="21"/>
    <m/>
  </r>
  <r>
    <x v="172"/>
    <n v="61"/>
    <n v="6"/>
    <n v="918"/>
    <n v="5"/>
    <n v="59402"/>
    <n v="166.34569999999999"/>
    <n v="19"/>
    <m/>
  </r>
  <r>
    <x v="173"/>
    <n v="17"/>
    <n v="2"/>
    <n v="204"/>
    <n v="6"/>
    <n v="21137"/>
    <n v="54.6355"/>
    <n v="18"/>
    <m/>
  </r>
  <r>
    <x v="174"/>
    <n v="30"/>
    <n v="4"/>
    <n v="758"/>
    <n v="31"/>
    <n v="34742"/>
    <n v="108.89239999999999"/>
    <n v="20"/>
    <n v="1.3720000000000001"/>
  </r>
  <r>
    <x v="175"/>
    <n v="13"/>
    <n v="3"/>
    <n v="358"/>
    <n v="6"/>
    <n v="14648"/>
    <n v="45.483699999999999"/>
    <n v="20"/>
    <n v="0.63900000000000001"/>
  </r>
  <r>
    <x v="176"/>
    <n v="1"/>
    <n v="1"/>
    <n v="154"/>
    <n v="7"/>
    <n v="4330"/>
    <n v="12.476100000000001"/>
    <n v="18"/>
    <n v="0.16400000000000001"/>
  </r>
  <r>
    <x v="177"/>
    <n v="4"/>
    <n v="0"/>
    <n v="13"/>
    <n v="-3"/>
    <n v="3416"/>
    <n v="10.687799999999999"/>
    <n v="19"/>
    <n v="8.5999999999999993E-2"/>
  </r>
  <r>
    <x v="178"/>
    <n v="1"/>
    <n v="0"/>
    <n v="-9"/>
    <n v="-1"/>
    <n v="477"/>
    <n v="1.3801000000000001"/>
    <n v="17"/>
    <n v="1.6E-2"/>
  </r>
  <r>
    <x v="179"/>
    <n v="0"/>
    <n v="0"/>
    <n v="-61"/>
    <n v="0"/>
    <n v="0"/>
    <n v="0"/>
    <m/>
    <m/>
  </r>
  <r>
    <x v="180"/>
    <n v="0"/>
    <n v="0"/>
    <n v="-18"/>
    <n v="-5"/>
    <n v="0"/>
    <n v="0"/>
    <m/>
    <m/>
  </r>
  <r>
    <x v="181"/>
    <n v="0"/>
    <n v="0"/>
    <n v="-14"/>
    <n v="-2"/>
    <n v="2"/>
    <n v="0"/>
    <m/>
    <m/>
  </r>
  <r>
    <x v="182"/>
    <n v="0"/>
    <n v="0"/>
    <n v="-5"/>
    <n v="-1"/>
    <n v="180"/>
    <n v="0.48649999999999999"/>
    <n v="18"/>
    <n v="4.0000000000000001E-3"/>
  </r>
  <r>
    <x v="183"/>
    <n v="0"/>
    <n v="0"/>
    <n v="7"/>
    <n v="-1"/>
    <n v="294"/>
    <n v="0.71499999999999997"/>
    <n v="16"/>
    <m/>
  </r>
  <r>
    <x v="184"/>
    <n v="1"/>
    <n v="0"/>
    <n v="-12"/>
    <n v="0"/>
    <n v="285"/>
    <n v="0.77100000000000002"/>
    <n v="17"/>
    <m/>
  </r>
  <r>
    <x v="185"/>
    <n v="0"/>
    <n v="0"/>
    <n v="-5"/>
    <n v="-2"/>
    <n v="402"/>
    <n v="1.0529999999999999"/>
    <n v="19"/>
    <m/>
  </r>
  <r>
    <x v="186"/>
    <n v="0"/>
    <n v="0"/>
    <n v="-47"/>
    <n v="-4"/>
    <n v="461"/>
    <n v="1.2632000000000001"/>
    <n v="19"/>
    <m/>
  </r>
  <r>
    <x v="187"/>
    <n v="1"/>
    <n v="0"/>
    <n v="-22"/>
    <n v="1"/>
    <n v="392"/>
    <n v="1.0145"/>
    <n v="18"/>
    <m/>
  </r>
  <r>
    <x v="188"/>
    <n v="0"/>
    <n v="0"/>
    <n v="-4"/>
    <n v="-15"/>
    <n v="388"/>
    <n v="1.0162"/>
    <n v="17"/>
    <m/>
  </r>
  <r>
    <x v="189"/>
    <n v="0"/>
    <n v="0"/>
    <n v="-6"/>
    <n v="-24"/>
    <n v="412"/>
    <n v="1.2092000000000001"/>
    <n v="19"/>
    <m/>
  </r>
  <r>
    <x v="190"/>
    <n v="0"/>
    <n v="0"/>
    <n v="-86"/>
    <n v="-12"/>
    <n v="418"/>
    <n v="1.1537999999999999"/>
    <n v="17"/>
    <m/>
  </r>
  <r>
    <x v="191"/>
    <n v="0"/>
    <n v="0"/>
    <n v="-189"/>
    <n v="-12"/>
    <n v="373"/>
    <n v="1.0279"/>
    <n v="18"/>
    <m/>
  </r>
  <r>
    <x v="192"/>
    <n v="1"/>
    <n v="0"/>
    <n v="-44"/>
    <n v="-6"/>
    <n v="376"/>
    <n v="1.0004"/>
    <n v="17"/>
    <m/>
  </r>
  <r>
    <x v="193"/>
    <n v="0"/>
    <n v="0"/>
    <n v="-15"/>
    <n v="-5"/>
    <n v="311"/>
    <n v="0.86080000000000001"/>
    <n v="19"/>
    <m/>
  </r>
  <r>
    <x v="194"/>
    <n v="0"/>
    <n v="0"/>
    <n v="-14"/>
    <n v="1"/>
    <n v="243"/>
    <n v="0.66720000000000002"/>
    <n v="20"/>
    <m/>
  </r>
  <r>
    <x v="195"/>
    <n v="6"/>
    <n v="1"/>
    <n v="-80"/>
    <n v="0"/>
    <n v="287"/>
    <n v="0.8266"/>
    <n v="20"/>
    <m/>
  </r>
  <r>
    <x v="196"/>
    <n v="0"/>
    <n v="0"/>
    <n v="-23"/>
    <n v="-7"/>
    <n v="315"/>
    <n v="0.82369999999999999"/>
    <n v="17"/>
    <m/>
  </r>
  <r>
    <x v="197"/>
    <n v="1"/>
    <n v="0"/>
    <n v="-13"/>
    <n v="-4"/>
    <n v="415"/>
    <n v="1.1449"/>
    <n v="19"/>
    <m/>
  </r>
  <r>
    <x v="198"/>
    <n v="2"/>
    <n v="0"/>
    <n v="-13"/>
    <n v="-1"/>
    <n v="418"/>
    <n v="1.0839000000000001"/>
    <n v="18"/>
    <m/>
  </r>
  <r>
    <x v="199"/>
    <n v="2"/>
    <n v="1"/>
    <n v="-27"/>
    <n v="-6"/>
    <n v="458"/>
    <n v="1.8095000000000001"/>
    <n v="30"/>
    <m/>
  </r>
  <r>
    <x v="200"/>
    <n v="0"/>
    <n v="0"/>
    <n v="-22"/>
    <n v="-3"/>
    <n v="343"/>
    <n v="1.9333"/>
    <n v="41"/>
    <m/>
  </r>
  <r>
    <x v="201"/>
    <n v="1"/>
    <n v="0"/>
    <n v="-5"/>
    <n v="-4"/>
    <n v="344"/>
    <n v="0.86629999999999996"/>
    <n v="16"/>
    <m/>
  </r>
  <r>
    <x v="202"/>
    <n v="0"/>
    <n v="1"/>
    <n v="-7"/>
    <n v="-6"/>
    <n v="406"/>
    <n v="1.1603000000000001"/>
    <n v="21"/>
    <m/>
  </r>
  <r>
    <x v="203"/>
    <n v="0"/>
    <n v="0"/>
    <n v="-26"/>
    <n v="2"/>
    <n v="467"/>
    <n v="1.1375999999999999"/>
    <n v="18"/>
    <m/>
  </r>
  <r>
    <x v="204"/>
    <n v="0"/>
    <n v="0"/>
    <n v="-13"/>
    <n v="-2"/>
    <n v="393"/>
    <n v="1.0306999999999999"/>
    <n v="18"/>
    <m/>
  </r>
  <r>
    <x v="205"/>
    <n v="0"/>
    <n v="0"/>
    <n v="-1"/>
    <n v="0"/>
    <n v="475"/>
    <n v="1.3984000000000001"/>
    <n v="20"/>
    <m/>
  </r>
  <r>
    <x v="206"/>
    <n v="0"/>
    <n v="0"/>
    <n v="-8"/>
    <n v="-30"/>
    <n v="470"/>
    <n v="1.1933"/>
    <n v="17"/>
    <m/>
  </r>
  <r>
    <x v="207"/>
    <n v="0"/>
    <n v="0"/>
    <n v="-41"/>
    <n v="-3"/>
    <n v="368"/>
    <n v="0.91269999999999996"/>
    <n v="16"/>
    <m/>
  </r>
  <r>
    <x v="208"/>
    <n v="0"/>
    <n v="0"/>
    <n v="-187"/>
    <n v="-4"/>
    <n v="335"/>
    <n v="0.9133"/>
    <n v="18"/>
    <m/>
  </r>
  <r>
    <x v="209"/>
    <n v="1"/>
    <n v="0"/>
    <n v="-22"/>
    <n v="-2"/>
    <n v="303"/>
    <n v="0.81159999999999999"/>
    <n v="18"/>
    <m/>
  </r>
  <r>
    <x v="210"/>
    <n v="0"/>
    <n v="0"/>
    <n v="-22"/>
    <n v="-3"/>
    <n v="332"/>
    <n v="0.97660000000000002"/>
    <n v="21"/>
    <m/>
  </r>
  <r>
    <x v="211"/>
    <n v="0"/>
    <n v="0"/>
    <n v="-12"/>
    <n v="-16"/>
    <n v="379"/>
    <n v="0.93220000000000003"/>
    <n v="17"/>
    <m/>
  </r>
  <r>
    <x v="212"/>
    <n v="0"/>
    <n v="0"/>
    <n v="-48"/>
    <n v="-2"/>
    <n v="358"/>
    <n v="0.91349999999999998"/>
    <n v="17"/>
    <m/>
  </r>
  <r>
    <x v="213"/>
    <n v="0"/>
    <n v="0"/>
    <n v="-104"/>
    <n v="-4"/>
    <n v="449"/>
    <n v="1.2863"/>
    <n v="18"/>
    <m/>
  </r>
  <r>
    <x v="214"/>
    <n v="0"/>
    <n v="0"/>
    <n v="-9"/>
    <n v="-5"/>
    <n v="332"/>
    <n v="1.9475"/>
    <n v="41"/>
    <m/>
  </r>
  <r>
    <x v="215"/>
    <n v="0"/>
    <n v="0"/>
    <n v="-53"/>
    <n v="-8"/>
    <n v="283"/>
    <n v="0.77200000000000002"/>
    <n v="19"/>
    <m/>
  </r>
  <r>
    <x v="216"/>
    <n v="0"/>
    <n v="0"/>
    <n v="-18"/>
    <n v="1"/>
    <n v="310"/>
    <n v="0.80189999999999995"/>
    <n v="16"/>
    <m/>
  </r>
  <r>
    <x v="217"/>
    <n v="0"/>
    <n v="0"/>
    <n v="-10"/>
    <n v="-2"/>
    <n v="423"/>
    <n v="1.0858000000000001"/>
    <n v="17"/>
    <m/>
  </r>
  <r>
    <x v="218"/>
    <n v="0"/>
    <n v="0"/>
    <n v="-48"/>
    <n v="-5"/>
    <n v="548"/>
    <n v="1.5553999999999999"/>
    <n v="18"/>
    <m/>
  </r>
  <r>
    <x v="219"/>
    <n v="0"/>
    <n v="0"/>
    <n v="-28"/>
    <n v="0"/>
    <n v="568"/>
    <n v="1.5608"/>
    <n v="19"/>
    <m/>
  </r>
  <r>
    <x v="220"/>
    <n v="0"/>
    <n v="0"/>
    <n v="-38"/>
    <n v="-2"/>
    <n v="368"/>
    <n v="1.0611999999999999"/>
    <n v="19"/>
    <m/>
  </r>
  <r>
    <x v="221"/>
    <n v="0"/>
    <n v="0"/>
    <n v="-35"/>
    <n v="-7"/>
    <n v="362"/>
    <n v="1.6060000000000001"/>
    <n v="27"/>
    <m/>
  </r>
  <r>
    <x v="222"/>
    <n v="0"/>
    <n v="0"/>
    <n v="-10"/>
    <n v="-4"/>
    <n v="325"/>
    <n v="0.92290000000000005"/>
    <n v="18"/>
    <m/>
  </r>
  <r>
    <x v="223"/>
    <n v="0"/>
    <n v="0"/>
    <n v="-37"/>
    <n v="-7"/>
    <n v="326"/>
    <n v="0.93159999999999998"/>
    <n v="19"/>
    <m/>
  </r>
  <r>
    <x v="224"/>
    <n v="0"/>
    <n v="0"/>
    <n v="-28"/>
    <n v="-3"/>
    <n v="277"/>
    <n v="0.74119999999999997"/>
    <n v="16"/>
    <m/>
  </r>
  <r>
    <x v="225"/>
    <n v="0"/>
    <n v="0"/>
    <n v="-21"/>
    <n v="-3"/>
    <n v="251"/>
    <n v="0.67569999999999997"/>
    <n v="17"/>
    <m/>
  </r>
  <r>
    <x v="226"/>
    <n v="0"/>
    <n v="0"/>
    <n v="-34"/>
    <n v="-4"/>
    <n v="265"/>
    <n v="0.66039999999999999"/>
    <n v="16"/>
    <m/>
  </r>
  <r>
    <x v="227"/>
    <n v="0"/>
    <n v="0"/>
    <n v="-29"/>
    <n v="-4"/>
    <n v="305"/>
    <n v="0.85089999999999999"/>
    <n v="16"/>
    <m/>
  </r>
  <r>
    <x v="228"/>
    <n v="0"/>
    <n v="0"/>
    <n v="-18"/>
    <n v="-2"/>
    <n v="305"/>
    <n v="0.87029999999999996"/>
    <n v="18"/>
    <m/>
  </r>
  <r>
    <x v="229"/>
    <n v="0"/>
    <n v="0"/>
    <n v="-13"/>
    <n v="-6"/>
    <n v="252"/>
    <n v="0.68100000000000005"/>
    <n v="17"/>
    <m/>
  </r>
  <r>
    <x v="230"/>
    <n v="0"/>
    <n v="0"/>
    <n v="-18"/>
    <n v="0"/>
    <n v="302"/>
    <n v="0.79349999999999998"/>
    <n v="17"/>
    <m/>
  </r>
  <r>
    <x v="231"/>
    <n v="0"/>
    <n v="1"/>
    <n v="-24"/>
    <n v="-6"/>
    <n v="242"/>
    <n v="0.60709999999999997"/>
    <n v="16"/>
    <m/>
  </r>
  <r>
    <x v="232"/>
    <n v="5"/>
    <n v="0"/>
    <n v="-18"/>
    <n v="-4"/>
    <n v="294"/>
    <n v="0.80489999999999995"/>
    <n v="18"/>
    <m/>
  </r>
  <r>
    <x v="233"/>
    <n v="0"/>
    <n v="0"/>
    <n v="-37"/>
    <n v="-6"/>
    <n v="364"/>
    <n v="0.94810000000000005"/>
    <n v="16"/>
    <m/>
  </r>
  <r>
    <x v="234"/>
    <n v="2"/>
    <n v="0"/>
    <n v="-37"/>
    <n v="-3"/>
    <n v="417"/>
    <n v="1.5712999999999999"/>
    <n v="28"/>
    <m/>
  </r>
  <r>
    <x v="235"/>
    <n v="0"/>
    <n v="0"/>
    <n v="-33"/>
    <n v="-2"/>
    <n v="324"/>
    <n v="0.9778"/>
    <n v="20"/>
    <m/>
  </r>
  <r>
    <x v="236"/>
    <n v="0"/>
    <n v="0"/>
    <n v="-27"/>
    <n v="-10"/>
    <n v="272"/>
    <n v="0.78110000000000002"/>
    <n v="19"/>
    <m/>
  </r>
  <r>
    <x v="237"/>
    <n v="0"/>
    <n v="0"/>
    <n v="-31"/>
    <n v="-11"/>
    <n v="296"/>
    <n v="0.83020000000000005"/>
    <n v="20"/>
    <m/>
  </r>
  <r>
    <x v="238"/>
    <n v="0"/>
    <n v="0"/>
    <n v="14"/>
    <n v="-2"/>
    <n v="330"/>
    <n v="0.85960000000000003"/>
    <n v="17"/>
    <m/>
  </r>
  <r>
    <x v="239"/>
    <n v="0"/>
    <n v="0"/>
    <n v="-35"/>
    <n v="-4"/>
    <n v="338"/>
    <n v="0.82399999999999995"/>
    <n v="18"/>
    <m/>
  </r>
  <r>
    <x v="240"/>
    <n v="1"/>
    <n v="1"/>
    <n v="-23"/>
    <n v="-6"/>
    <n v="348"/>
    <n v="1.0007999999999999"/>
    <n v="19"/>
    <m/>
  </r>
  <r>
    <x v="241"/>
    <n v="0"/>
    <n v="0"/>
    <n v="-38"/>
    <n v="-7"/>
    <n v="407"/>
    <n v="1.0317000000000001"/>
    <n v="16"/>
    <m/>
  </r>
  <r>
    <x v="242"/>
    <n v="0"/>
    <n v="0"/>
    <n v="-24"/>
    <n v="0"/>
    <n v="370"/>
    <n v="1.2407999999999999"/>
    <n v="22"/>
    <m/>
  </r>
  <r>
    <x v="243"/>
    <n v="0"/>
    <n v="0"/>
    <n v="-35"/>
    <n v="-9"/>
    <n v="299"/>
    <n v="0.67769999999999997"/>
    <n v="15"/>
    <m/>
  </r>
  <r>
    <x v="244"/>
    <n v="0"/>
    <n v="0"/>
    <n v="-35"/>
    <n v="-4"/>
    <n v="326"/>
    <n v="0.77729999999999999"/>
    <n v="13"/>
    <m/>
  </r>
  <r>
    <x v="245"/>
    <n v="0"/>
    <n v="0"/>
    <n v="-38"/>
    <n v="-5"/>
    <n v="292"/>
    <n v="0.73960000000000004"/>
    <n v="16"/>
    <m/>
  </r>
  <r>
    <x v="246"/>
    <n v="0"/>
    <n v="1"/>
    <n v="-15"/>
    <n v="-5"/>
    <n v="291"/>
    <n v="0.78200000000000003"/>
    <n v="16"/>
    <m/>
  </r>
  <r>
    <x v="247"/>
    <n v="0"/>
    <n v="1"/>
    <n v="-5"/>
    <n v="-5"/>
    <n v="355"/>
    <n v="0.871"/>
    <n v="17"/>
    <m/>
  </r>
  <r>
    <x v="248"/>
    <n v="0"/>
    <n v="0"/>
    <n v="-14"/>
    <n v="-3"/>
    <n v="365"/>
    <n v="1.4621"/>
    <n v="27"/>
    <m/>
  </r>
  <r>
    <x v="249"/>
    <n v="0"/>
    <n v="0"/>
    <n v="-12"/>
    <n v="-4"/>
    <n v="360"/>
    <n v="0.87629999999999997"/>
    <n v="16"/>
    <m/>
  </r>
  <r>
    <x v="250"/>
    <n v="0"/>
    <n v="0"/>
    <n v="-17"/>
    <n v="-3"/>
    <n v="322"/>
    <n v="0.86580000000000001"/>
    <n v="17"/>
    <m/>
  </r>
  <r>
    <x v="251"/>
    <n v="0"/>
    <n v="0"/>
    <n v="-5"/>
    <n v="-4"/>
    <n v="425"/>
    <n v="0.95489999999999997"/>
    <n v="17"/>
    <m/>
  </r>
  <r>
    <x v="252"/>
    <n v="0"/>
    <n v="0"/>
    <n v="-7"/>
    <n v="-3"/>
    <n v="298"/>
    <n v="0.79830000000000001"/>
    <n v="16"/>
    <m/>
  </r>
  <r>
    <x v="253"/>
    <n v="0"/>
    <n v="0"/>
    <n v="-17"/>
    <n v="-2"/>
    <n v="349"/>
    <n v="0.89549999999999996"/>
    <n v="16"/>
    <m/>
  </r>
  <r>
    <x v="254"/>
    <n v="0"/>
    <n v="1"/>
    <n v="-118"/>
    <n v="-6"/>
    <n v="357"/>
    <n v="0.88029999999999997"/>
    <n v="15"/>
    <m/>
  </r>
  <r>
    <x v="255"/>
    <n v="0"/>
    <n v="0"/>
    <n v="-36"/>
    <n v="-14"/>
    <n v="462"/>
    <n v="0.9829"/>
    <n v="13"/>
    <m/>
  </r>
  <r>
    <x v="256"/>
    <n v="0"/>
    <n v="0"/>
    <n v="-13"/>
    <n v="-5"/>
    <n v="363"/>
    <n v="0.9516"/>
    <n v="17"/>
    <m/>
  </r>
  <r>
    <x v="257"/>
    <n v="0"/>
    <n v="0"/>
    <n v="-10"/>
    <n v="-2"/>
    <n v="348"/>
    <n v="0.89149999999999996"/>
    <n v="17"/>
    <m/>
  </r>
  <r>
    <x v="258"/>
    <n v="0"/>
    <n v="0"/>
    <n v="-19"/>
    <n v="-3"/>
    <n v="390"/>
    <n v="1.0076000000000001"/>
    <n v="18"/>
    <m/>
  </r>
  <r>
    <x v="259"/>
    <n v="0"/>
    <n v="0"/>
    <n v="-17"/>
    <n v="0"/>
    <n v="336"/>
    <n v="0.80779999999999996"/>
    <n v="17"/>
    <m/>
  </r>
  <r>
    <x v="260"/>
    <n v="0"/>
    <n v="0"/>
    <n v="-14"/>
    <n v="-6"/>
    <n v="310"/>
    <n v="2.0775999999999999"/>
    <n v="50"/>
    <m/>
  </r>
  <r>
    <x v="261"/>
    <n v="2"/>
    <n v="0"/>
    <n v="-112"/>
    <n v="-26"/>
    <n v="377"/>
    <n v="0.96650000000000003"/>
    <n v="16"/>
    <m/>
  </r>
  <r>
    <x v="262"/>
    <n v="0"/>
    <n v="1"/>
    <n v="-12"/>
    <n v="-4"/>
    <n v="326"/>
    <n v="0.80740000000000001"/>
    <n v="16"/>
    <m/>
  </r>
  <r>
    <x v="263"/>
    <n v="0"/>
    <n v="0"/>
    <n v="-12"/>
    <n v="-5"/>
    <n v="385"/>
    <n v="0.99890000000000001"/>
    <n v="18"/>
    <m/>
  </r>
  <r>
    <x v="264"/>
    <n v="0"/>
    <n v="0"/>
    <n v="-42"/>
    <n v="0"/>
    <n v="304"/>
    <n v="0.75129999999999997"/>
    <n v="17"/>
    <m/>
  </r>
  <r>
    <x v="265"/>
    <n v="0"/>
    <n v="0"/>
    <n v="-58"/>
    <n v="-15"/>
    <n v="350"/>
    <n v="0.96930000000000005"/>
    <n v="18"/>
    <m/>
  </r>
  <r>
    <x v="266"/>
    <n v="0"/>
    <n v="0"/>
    <n v="-17"/>
    <n v="0"/>
    <n v="374"/>
    <n v="1.0516000000000001"/>
    <n v="18"/>
    <m/>
  </r>
  <r>
    <x v="267"/>
    <n v="0"/>
    <n v="1"/>
    <n v="-16"/>
    <n v="-3"/>
    <n v="354"/>
    <n v="0.86129999999999995"/>
    <n v="17"/>
    <m/>
  </r>
  <r>
    <x v="268"/>
    <n v="0"/>
    <n v="0"/>
    <n v="-53"/>
    <n v="-8"/>
    <n v="488"/>
    <n v="1.4962"/>
    <n v="21"/>
    <m/>
  </r>
  <r>
    <x v="269"/>
    <n v="0"/>
    <n v="0"/>
    <n v="-14"/>
    <n v="-1"/>
    <n v="500"/>
    <n v="1.2060999999999999"/>
    <n v="17"/>
    <m/>
  </r>
  <r>
    <x v="270"/>
    <n v="0"/>
    <n v="1"/>
    <n v="-38"/>
    <n v="-3"/>
    <n v="483"/>
    <n v="1.1778999999999999"/>
    <n v="16"/>
    <m/>
  </r>
  <r>
    <x v="271"/>
    <n v="0"/>
    <n v="0"/>
    <n v="-32"/>
    <n v="-4"/>
    <n v="326"/>
    <n v="0.81179999999999997"/>
    <n v="16"/>
    <m/>
  </r>
  <r>
    <x v="272"/>
    <n v="1"/>
    <n v="0"/>
    <n v="-28"/>
    <n v="-8"/>
    <n v="324"/>
    <n v="1.1017999999999999"/>
    <n v="24"/>
    <m/>
  </r>
  <r>
    <x v="273"/>
    <n v="0"/>
    <n v="0"/>
    <n v="-11"/>
    <n v="-2"/>
    <n v="358"/>
    <n v="1.0006999999999999"/>
    <n v="19"/>
    <m/>
  </r>
  <r>
    <x v="274"/>
    <n v="0"/>
    <n v="0"/>
    <n v="-19"/>
    <n v="-1"/>
    <n v="286"/>
    <n v="0.93059999999999998"/>
    <n v="21"/>
    <m/>
  </r>
  <r>
    <x v="275"/>
    <n v="0"/>
    <n v="0"/>
    <n v="-23"/>
    <n v="-10"/>
    <n v="295"/>
    <n v="0.75170000000000003"/>
    <n v="18"/>
    <m/>
  </r>
  <r>
    <x v="276"/>
    <n v="0"/>
    <n v="0"/>
    <n v="-25"/>
    <n v="-5"/>
    <n v="287"/>
    <n v="0.77649999999999997"/>
    <n v="18"/>
    <m/>
  </r>
  <r>
    <x v="277"/>
    <n v="0"/>
    <n v="0"/>
    <n v="-21"/>
    <n v="-2"/>
    <n v="350"/>
    <n v="0.93020000000000003"/>
    <n v="19"/>
    <m/>
  </r>
  <r>
    <x v="278"/>
    <n v="0"/>
    <n v="0"/>
    <n v="-27"/>
    <n v="-5"/>
    <n v="290"/>
    <n v="0.77210000000000001"/>
    <n v="18"/>
    <m/>
  </r>
  <r>
    <x v="279"/>
    <n v="0"/>
    <n v="0"/>
    <n v="-1"/>
    <n v="-1"/>
    <n v="442"/>
    <n v="1.167"/>
    <n v="18"/>
    <m/>
  </r>
  <r>
    <x v="280"/>
    <n v="0"/>
    <n v="0"/>
    <n v="-56"/>
    <n v="-1"/>
    <n v="316"/>
    <n v="0.82899999999999996"/>
    <n v="18"/>
    <m/>
  </r>
  <r>
    <x v="281"/>
    <n v="2"/>
    <n v="0"/>
    <n v="-22"/>
    <n v="-9"/>
    <n v="416"/>
    <n v="1.0456000000000001"/>
    <n v="17"/>
    <m/>
  </r>
  <r>
    <x v="282"/>
    <n v="0"/>
    <n v="0"/>
    <n v="-41"/>
    <n v="-9"/>
    <n v="393"/>
    <n v="1.0886"/>
    <n v="17"/>
    <m/>
  </r>
  <r>
    <x v="283"/>
    <n v="0"/>
    <n v="0"/>
    <n v="-18"/>
    <n v="-5"/>
    <n v="385"/>
    <n v="1.0303"/>
    <n v="18"/>
    <m/>
  </r>
  <r>
    <x v="284"/>
    <n v="0"/>
    <n v="0"/>
    <n v="-26"/>
    <n v="-2"/>
    <n v="311"/>
    <n v="0.7853"/>
    <n v="17"/>
    <m/>
  </r>
  <r>
    <x v="285"/>
    <n v="0"/>
    <n v="0"/>
    <n v="-34"/>
    <n v="0"/>
    <n v="307"/>
    <n v="0.82909999999999995"/>
    <n v="18"/>
    <m/>
  </r>
  <r>
    <x v="286"/>
    <n v="0"/>
    <n v="0"/>
    <n v="2"/>
    <n v="0"/>
    <n v="269"/>
    <n v="0.70050000000000001"/>
    <n v="18"/>
    <m/>
  </r>
  <r>
    <x v="287"/>
    <n v="0"/>
    <n v="0"/>
    <n v="-51"/>
    <n v="-1"/>
    <n v="306"/>
    <n v="0.76129999999999998"/>
    <n v="18"/>
    <m/>
  </r>
  <r>
    <x v="288"/>
    <n v="0"/>
    <n v="0"/>
    <n v="-7"/>
    <n v="0"/>
    <n v="343"/>
    <n v="0.89149999999999996"/>
    <n v="17"/>
    <m/>
  </r>
  <r>
    <x v="289"/>
    <n v="0"/>
    <n v="1"/>
    <n v="-19"/>
    <n v="-9"/>
    <n v="525"/>
    <n v="1.3299000000000001"/>
    <n v="17"/>
    <m/>
  </r>
  <r>
    <x v="290"/>
    <n v="0"/>
    <n v="0"/>
    <n v="-1"/>
    <n v="-3"/>
    <n v="542"/>
    <n v="1.3846000000000001"/>
    <n v="17"/>
    <m/>
  </r>
  <r>
    <x v="291"/>
    <n v="0"/>
    <n v="0"/>
    <n v="-55"/>
    <n v="-3"/>
    <n v="394"/>
    <n v="1.1088"/>
    <n v="20"/>
    <m/>
  </r>
  <r>
    <x v="292"/>
    <n v="0"/>
    <n v="0"/>
    <n v="-24"/>
    <n v="0"/>
    <n v="346"/>
    <n v="0.85719999999999996"/>
    <n v="17"/>
    <m/>
  </r>
  <r>
    <x v="293"/>
    <n v="0"/>
    <n v="0"/>
    <n v="-7"/>
    <n v="1"/>
    <n v="315"/>
    <n v="0.87180000000000002"/>
    <n v="19"/>
    <m/>
  </r>
  <r>
    <x v="294"/>
    <n v="0"/>
    <n v="0"/>
    <n v="-47"/>
    <n v="0"/>
    <n v="311"/>
    <n v="0.76390000000000002"/>
    <n v="17"/>
    <m/>
  </r>
  <r>
    <x v="295"/>
    <n v="0"/>
    <n v="0"/>
    <n v="-8"/>
    <n v="-2"/>
    <n v="441"/>
    <n v="1.2533000000000001"/>
    <n v="20"/>
    <m/>
  </r>
  <r>
    <x v="296"/>
    <n v="0"/>
    <n v="0"/>
    <n v="-23"/>
    <n v="-17"/>
    <n v="403"/>
    <n v="1.0027999999999999"/>
    <n v="17"/>
    <m/>
  </r>
  <r>
    <x v="297"/>
    <n v="0"/>
    <n v="0"/>
    <n v="-22"/>
    <n v="-9"/>
    <n v="405"/>
    <n v="1.0318000000000001"/>
    <n v="18"/>
    <m/>
  </r>
  <r>
    <x v="298"/>
    <n v="1"/>
    <n v="0"/>
    <n v="-9"/>
    <n v="-7"/>
    <n v="424"/>
    <n v="1.1416999999999999"/>
    <n v="18"/>
    <m/>
  </r>
  <r>
    <x v="299"/>
    <n v="0"/>
    <n v="1"/>
    <n v="3"/>
    <n v="-1"/>
    <n v="305"/>
    <n v="1.0903"/>
    <n v="25"/>
    <m/>
  </r>
  <r>
    <x v="300"/>
    <n v="0"/>
    <n v="0"/>
    <n v="4"/>
    <n v="-1"/>
    <n v="296"/>
    <n v="0.76600000000000001"/>
    <n v="18"/>
    <m/>
  </r>
  <r>
    <x v="301"/>
    <n v="0"/>
    <n v="1"/>
    <n v="-45"/>
    <n v="-2"/>
    <n v="358"/>
    <n v="0.98360000000000003"/>
    <n v="18"/>
    <m/>
  </r>
  <r>
    <x v="302"/>
    <n v="0"/>
    <n v="0"/>
    <n v="-46"/>
    <n v="-9"/>
    <n v="323"/>
    <n v="0.77370000000000005"/>
    <n v="16"/>
    <m/>
  </r>
  <r>
    <x v="303"/>
    <n v="0"/>
    <n v="0"/>
    <n v="-21"/>
    <n v="1"/>
    <n v="424"/>
    <n v="1.3238000000000001"/>
    <n v="21"/>
    <m/>
  </r>
  <r>
    <x v="304"/>
    <n v="0"/>
    <n v="2"/>
    <n v="-32"/>
    <n v="-1"/>
    <n v="480"/>
    <n v="1.1352"/>
    <n v="18"/>
    <m/>
  </r>
  <r>
    <x v="305"/>
    <n v="0"/>
    <n v="1"/>
    <n v="-11"/>
    <n v="1"/>
    <n v="455"/>
    <n v="1.1113"/>
    <n v="17"/>
    <m/>
  </r>
  <r>
    <x v="306"/>
    <n v="0"/>
    <n v="1"/>
    <n v="-12"/>
    <n v="-3"/>
    <n v="398"/>
    <n v="0.98529999999999995"/>
    <n v="17"/>
    <m/>
  </r>
  <r>
    <x v="307"/>
    <n v="1"/>
    <n v="0"/>
    <n v="-8"/>
    <n v="-10"/>
    <n v="405"/>
    <n v="1.0447"/>
    <n v="17"/>
    <m/>
  </r>
  <r>
    <x v="308"/>
    <n v="1"/>
    <n v="0"/>
    <n v="-18"/>
    <n v="1"/>
    <n v="332"/>
    <n v="1.0505"/>
    <n v="21"/>
    <m/>
  </r>
  <r>
    <x v="309"/>
    <n v="0"/>
    <n v="1"/>
    <n v="-34"/>
    <n v="-3"/>
    <n v="337"/>
    <n v="0.87890000000000001"/>
    <n v="17"/>
    <m/>
  </r>
  <r>
    <x v="310"/>
    <n v="0"/>
    <n v="1"/>
    <n v="-28"/>
    <n v="-2"/>
    <n v="382"/>
    <n v="1.008"/>
    <n v="18"/>
    <m/>
  </r>
  <r>
    <x v="311"/>
    <n v="0"/>
    <n v="1"/>
    <n v="-24"/>
    <n v="-9"/>
    <n v="662"/>
    <n v="1.7615000000000001"/>
    <n v="18"/>
    <m/>
  </r>
  <r>
    <x v="312"/>
    <n v="0"/>
    <n v="0"/>
    <n v="-14"/>
    <n v="-1"/>
    <n v="566"/>
    <n v="1.4162999999999999"/>
    <n v="16"/>
    <m/>
  </r>
  <r>
    <x v="313"/>
    <n v="0"/>
    <n v="0"/>
    <n v="-57"/>
    <n v="-15"/>
    <n v="500"/>
    <n v="1.2431000000000001"/>
    <n v="16"/>
    <m/>
  </r>
  <r>
    <x v="314"/>
    <n v="0"/>
    <n v="1"/>
    <n v="11"/>
    <n v="-2"/>
    <n v="525"/>
    <n v="1.3462000000000001"/>
    <n v="18"/>
    <m/>
  </r>
  <r>
    <x v="315"/>
    <n v="0"/>
    <n v="0"/>
    <n v="-26"/>
    <n v="0"/>
    <n v="458"/>
    <n v="1.0462"/>
    <n v="15"/>
    <m/>
  </r>
  <r>
    <x v="316"/>
    <n v="0"/>
    <n v="0"/>
    <n v="-11"/>
    <n v="-9"/>
    <n v="501"/>
    <n v="1.3317000000000001"/>
    <n v="17"/>
    <m/>
  </r>
  <r>
    <x v="317"/>
    <n v="0"/>
    <n v="1"/>
    <n v="-37"/>
    <n v="1"/>
    <n v="528"/>
    <n v="1.4161999999999999"/>
    <n v="17"/>
    <m/>
  </r>
  <r>
    <x v="318"/>
    <n v="4"/>
    <n v="0"/>
    <n v="-13"/>
    <n v="-3"/>
    <n v="650"/>
    <n v="1.6786000000000001"/>
    <n v="16"/>
    <m/>
  </r>
  <r>
    <x v="319"/>
    <n v="0"/>
    <n v="0"/>
    <n v="-10"/>
    <n v="-3"/>
    <n v="597"/>
    <n v="1.5018"/>
    <n v="17"/>
    <m/>
  </r>
  <r>
    <x v="320"/>
    <n v="0"/>
    <n v="1"/>
    <n v="-35"/>
    <n v="-1"/>
    <n v="555"/>
    <n v="1.4415"/>
    <n v="16"/>
    <m/>
  </r>
  <r>
    <x v="321"/>
    <n v="0"/>
    <n v="0"/>
    <n v="2"/>
    <n v="-12"/>
    <n v="553"/>
    <n v="1.4413"/>
    <n v="17"/>
    <m/>
  </r>
  <r>
    <x v="322"/>
    <n v="0"/>
    <n v="1"/>
    <n v="-17"/>
    <n v="-4"/>
    <n v="516"/>
    <n v="1.3283"/>
    <n v="17"/>
    <m/>
  </r>
  <r>
    <x v="323"/>
    <n v="0"/>
    <n v="0"/>
    <n v="-23"/>
    <n v="-4"/>
    <n v="546"/>
    <n v="1.4039999999999999"/>
    <n v="17"/>
    <m/>
  </r>
  <r>
    <x v="324"/>
    <n v="1"/>
    <n v="0"/>
    <n v="-26"/>
    <n v="-6"/>
    <n v="595"/>
    <n v="1.5422"/>
    <n v="18"/>
    <m/>
  </r>
  <r>
    <x v="325"/>
    <n v="0"/>
    <n v="0"/>
    <n v="-2"/>
    <n v="-4"/>
    <n v="580"/>
    <n v="1.4953000000000001"/>
    <n v="17"/>
    <m/>
  </r>
  <r>
    <x v="326"/>
    <n v="0"/>
    <n v="1"/>
    <n v="-34"/>
    <n v="-2"/>
    <n v="590"/>
    <n v="1.7526999999999999"/>
    <n v="19"/>
    <m/>
  </r>
  <r>
    <x v="327"/>
    <n v="0"/>
    <n v="0"/>
    <n v="-15"/>
    <n v="-3"/>
    <n v="462"/>
    <n v="1.1544000000000001"/>
    <n v="16"/>
    <m/>
  </r>
  <r>
    <x v="328"/>
    <n v="0"/>
    <n v="0"/>
    <n v="-14"/>
    <n v="-2"/>
    <n v="480"/>
    <n v="1.1884999999999999"/>
    <n v="17"/>
    <m/>
  </r>
  <r>
    <x v="329"/>
    <n v="1"/>
    <n v="0"/>
    <n v="-14"/>
    <n v="-6"/>
    <n v="435"/>
    <n v="1.1049"/>
    <n v="16"/>
    <m/>
  </r>
  <r>
    <x v="330"/>
    <n v="0"/>
    <n v="0"/>
    <n v="-23"/>
    <n v="-1"/>
    <n v="581"/>
    <n v="1.4384999999999999"/>
    <n v="18"/>
    <m/>
  </r>
  <r>
    <x v="331"/>
    <n v="0"/>
    <n v="0"/>
    <n v="-3"/>
    <n v="-3"/>
    <n v="494"/>
    <n v="1.218"/>
    <n v="17"/>
    <m/>
  </r>
  <r>
    <x v="332"/>
    <n v="0"/>
    <n v="1"/>
    <n v="1"/>
    <n v="-1"/>
    <n v="584"/>
    <n v="1.4621"/>
    <n v="17"/>
    <m/>
  </r>
  <r>
    <x v="333"/>
    <n v="0"/>
    <n v="0"/>
    <n v="-2"/>
    <n v="-3"/>
    <n v="571"/>
    <n v="1.4495"/>
    <n v="18"/>
    <m/>
  </r>
  <r>
    <x v="334"/>
    <n v="0"/>
    <n v="1"/>
    <n v="-13"/>
    <n v="-14"/>
    <n v="570"/>
    <n v="1.5098"/>
    <n v="18"/>
    <m/>
  </r>
  <r>
    <x v="335"/>
    <n v="0"/>
    <n v="0"/>
    <n v="-113"/>
    <n v="-7"/>
    <n v="564"/>
    <n v="1.4470000000000001"/>
    <n v="17"/>
    <m/>
  </r>
  <r>
    <x v="336"/>
    <n v="0"/>
    <n v="0"/>
    <n v="-3"/>
    <n v="-8"/>
    <n v="483"/>
    <n v="1.2330000000000001"/>
    <n v="17"/>
    <m/>
  </r>
  <r>
    <x v="337"/>
    <n v="0"/>
    <n v="0"/>
    <n v="2"/>
    <n v="-3"/>
    <n v="618"/>
    <n v="1.6564000000000001"/>
    <n v="18"/>
    <m/>
  </r>
  <r>
    <x v="338"/>
    <n v="0"/>
    <n v="0"/>
    <n v="-6"/>
    <n v="-3"/>
    <n v="607"/>
    <n v="1.5408999999999999"/>
    <n v="17"/>
    <m/>
  </r>
  <r>
    <x v="339"/>
    <n v="0"/>
    <n v="1"/>
    <n v="3"/>
    <n v="-6"/>
    <n v="616"/>
    <n v="1.5477000000000001"/>
    <n v="17"/>
    <m/>
  </r>
  <r>
    <x v="340"/>
    <n v="0"/>
    <n v="0"/>
    <n v="-9"/>
    <n v="-3"/>
    <n v="630"/>
    <n v="1.5569999999999999"/>
    <n v="16"/>
    <m/>
  </r>
  <r>
    <x v="341"/>
    <n v="0"/>
    <n v="0"/>
    <n v="-96"/>
    <n v="-2"/>
    <n v="526"/>
    <n v="1.3813"/>
    <n v="17"/>
    <m/>
  </r>
  <r>
    <x v="342"/>
    <n v="2"/>
    <n v="0"/>
    <n v="-6"/>
    <n v="-7"/>
    <n v="595"/>
    <n v="1.5156000000000001"/>
    <n v="17"/>
    <m/>
  </r>
  <r>
    <x v="343"/>
    <n v="0"/>
    <n v="0"/>
    <n v="-79"/>
    <n v="-8"/>
    <n v="527"/>
    <n v="1.4272"/>
    <n v="18"/>
    <m/>
  </r>
  <r>
    <x v="344"/>
    <n v="0"/>
    <n v="1"/>
    <n v="-17"/>
    <n v="-5"/>
    <n v="551"/>
    <n v="1.2625"/>
    <n v="16"/>
    <m/>
  </r>
  <r>
    <x v="345"/>
    <n v="0"/>
    <n v="0"/>
    <n v="18"/>
    <n v="-1"/>
    <n v="526"/>
    <n v="1.4883999999999999"/>
    <n v="19"/>
    <m/>
  </r>
  <r>
    <x v="346"/>
    <n v="0"/>
    <n v="0"/>
    <n v="-32"/>
    <n v="-10"/>
    <n v="529"/>
    <n v="1.2831999999999999"/>
    <n v="15"/>
    <m/>
  </r>
  <r>
    <x v="347"/>
    <n v="0"/>
    <n v="0"/>
    <n v="-17"/>
    <n v="-3"/>
    <n v="582"/>
    <n v="1.3956"/>
    <n v="15"/>
    <m/>
  </r>
  <r>
    <x v="348"/>
    <n v="0"/>
    <n v="0"/>
    <n v="-69"/>
    <n v="-14"/>
    <n v="470"/>
    <n v="1.2877000000000001"/>
    <n v="16"/>
    <m/>
  </r>
  <r>
    <x v="349"/>
    <n v="0"/>
    <n v="1"/>
    <n v="2"/>
    <n v="-7"/>
    <n v="554"/>
    <n v="1.3449"/>
    <n v="16"/>
    <m/>
  </r>
  <r>
    <x v="350"/>
    <n v="0"/>
    <n v="0"/>
    <n v="1"/>
    <n v="-3"/>
    <n v="601"/>
    <n v="1.9639"/>
    <n v="21"/>
    <m/>
  </r>
  <r>
    <x v="351"/>
    <n v="1"/>
    <n v="4"/>
    <n v="-11"/>
    <n v="-1"/>
    <n v="613"/>
    <n v="1.4651000000000001"/>
    <n v="17"/>
    <m/>
  </r>
  <r>
    <x v="352"/>
    <n v="0"/>
    <n v="0"/>
    <n v="-27"/>
    <n v="-4"/>
    <n v="599"/>
    <n v="1.5402"/>
    <n v="17"/>
    <m/>
  </r>
  <r>
    <x v="353"/>
    <n v="1"/>
    <n v="0"/>
    <n v="-10"/>
    <n v="-3"/>
    <n v="708"/>
    <n v="1.7924"/>
    <n v="18"/>
    <m/>
  </r>
  <r>
    <x v="354"/>
    <n v="2"/>
    <n v="0"/>
    <n v="-24"/>
    <n v="-2"/>
    <n v="698"/>
    <n v="1.6689000000000001"/>
    <n v="16"/>
    <m/>
  </r>
  <r>
    <x v="355"/>
    <n v="0"/>
    <n v="0"/>
    <n v="-15"/>
    <n v="-5"/>
    <n v="612"/>
    <n v="1.5019"/>
    <n v="17"/>
    <m/>
  </r>
  <r>
    <x v="356"/>
    <n v="0"/>
    <n v="2"/>
    <n v="-16"/>
    <n v="0"/>
    <n v="517"/>
    <n v="1.411"/>
    <n v="17"/>
    <m/>
  </r>
  <r>
    <x v="357"/>
    <n v="0"/>
    <n v="0"/>
    <n v="-8"/>
    <n v="-2"/>
    <n v="562"/>
    <n v="1.6064000000000001"/>
    <n v="17"/>
    <m/>
  </r>
  <r>
    <x v="358"/>
    <n v="1"/>
    <n v="1"/>
    <n v="-10"/>
    <n v="-2"/>
    <n v="549"/>
    <n v="1.593"/>
    <n v="18"/>
    <m/>
  </r>
  <r>
    <x v="359"/>
    <n v="0"/>
    <n v="0"/>
    <n v="0"/>
    <n v="-1"/>
    <n v="652"/>
    <n v="1.6962999999999999"/>
    <n v="17"/>
    <m/>
  </r>
  <r>
    <x v="360"/>
    <n v="1"/>
    <n v="0"/>
    <n v="-2"/>
    <n v="-6"/>
    <n v="626"/>
    <n v="1.6645000000000001"/>
    <n v="17"/>
    <m/>
  </r>
  <r>
    <x v="361"/>
    <n v="0"/>
    <n v="0"/>
    <n v="-19"/>
    <n v="-7"/>
    <n v="576"/>
    <n v="1.5665"/>
    <n v="16"/>
    <m/>
  </r>
  <r>
    <x v="362"/>
    <n v="1"/>
    <n v="0"/>
    <n v="-31"/>
    <n v="-5"/>
    <n v="619"/>
    <n v="1.5238"/>
    <n v="16"/>
    <m/>
  </r>
  <r>
    <x v="363"/>
    <n v="0"/>
    <n v="0"/>
    <n v="-36"/>
    <n v="0"/>
    <n v="657"/>
    <n v="1.7290000000000001"/>
    <n v="18"/>
    <m/>
  </r>
  <r>
    <x v="364"/>
    <n v="0"/>
    <n v="0"/>
    <n v="-6"/>
    <n v="-1"/>
    <n v="606"/>
    <n v="1.5278"/>
    <n v="16"/>
    <m/>
  </r>
  <r>
    <x v="365"/>
    <n v="0"/>
    <n v="0"/>
    <n v="-21"/>
    <n v="-2"/>
    <n v="635"/>
    <n v="1.6338999999999999"/>
    <n v="16"/>
    <m/>
  </r>
  <r>
    <x v="366"/>
    <n v="1"/>
    <n v="0"/>
    <n v="0"/>
    <n v="-3"/>
    <n v="705"/>
    <n v="1.8374999999999999"/>
    <n v="16"/>
    <m/>
  </r>
  <r>
    <x v="367"/>
    <n v="0"/>
    <n v="1"/>
    <n v="-36"/>
    <n v="-3"/>
    <n v="794"/>
    <n v="2.0451999999999999"/>
    <n v="17"/>
    <m/>
  </r>
  <r>
    <x v="368"/>
    <n v="0"/>
    <n v="1"/>
    <n v="-51"/>
    <n v="-4"/>
    <n v="811"/>
    <n v="2.177"/>
    <n v="16"/>
    <m/>
  </r>
  <r>
    <x v="369"/>
    <n v="0"/>
    <n v="0"/>
    <n v="-15"/>
    <n v="-4"/>
    <n v="787"/>
    <n v="2.0118"/>
    <n v="16"/>
    <m/>
  </r>
  <r>
    <x v="370"/>
    <n v="0"/>
    <n v="0"/>
    <n v="-6"/>
    <n v="-1"/>
    <n v="748"/>
    <n v="1.9996"/>
    <n v="17"/>
    <m/>
  </r>
  <r>
    <x v="371"/>
    <n v="1"/>
    <n v="0"/>
    <n v="2"/>
    <n v="0"/>
    <n v="745"/>
    <n v="1.9232"/>
    <n v="17"/>
    <m/>
  </r>
  <r>
    <x v="372"/>
    <n v="0"/>
    <n v="0"/>
    <n v="-28"/>
    <n v="-2"/>
    <n v="791"/>
    <n v="2.101"/>
    <n v="17"/>
    <m/>
  </r>
  <r>
    <x v="373"/>
    <n v="0"/>
    <n v="0"/>
    <n v="-8"/>
    <n v="-7"/>
    <n v="712"/>
    <n v="2.0920999999999998"/>
    <n v="18"/>
    <m/>
  </r>
  <r>
    <x v="374"/>
    <n v="1"/>
    <n v="1"/>
    <n v="0"/>
    <n v="-2"/>
    <n v="743"/>
    <n v="1.9643999999999999"/>
    <n v="17"/>
    <m/>
  </r>
  <r>
    <x v="375"/>
    <n v="0"/>
    <n v="0"/>
    <n v="-4"/>
    <n v="0"/>
    <n v="723"/>
    <n v="1.9056"/>
    <n v="17"/>
    <m/>
  </r>
  <r>
    <x v="376"/>
    <n v="1"/>
    <n v="0"/>
    <n v="-46"/>
    <n v="-8"/>
    <n v="652"/>
    <n v="1.7333000000000001"/>
    <n v="16"/>
    <m/>
  </r>
  <r>
    <x v="377"/>
    <n v="0"/>
    <n v="0"/>
    <n v="-31"/>
    <n v="-2"/>
    <n v="752"/>
    <n v="1.9807999999999999"/>
    <n v="17"/>
    <m/>
  </r>
  <r>
    <x v="378"/>
    <n v="0"/>
    <n v="0"/>
    <n v="-1"/>
    <n v="-2"/>
    <n v="622"/>
    <n v="1.6581999999999999"/>
    <n v="16"/>
    <m/>
  </r>
  <r>
    <x v="379"/>
    <n v="0"/>
    <n v="0"/>
    <n v="-12"/>
    <n v="-4"/>
    <n v="633"/>
    <n v="1.6718999999999999"/>
    <n v="16"/>
    <m/>
  </r>
  <r>
    <x v="380"/>
    <n v="0"/>
    <n v="0"/>
    <n v="-35"/>
    <n v="-7"/>
    <n v="906"/>
    <n v="2.5486"/>
    <n v="18"/>
    <m/>
  </r>
  <r>
    <x v="381"/>
    <n v="0"/>
    <n v="0"/>
    <n v="4"/>
    <n v="-2"/>
    <n v="965"/>
    <n v="2.5971000000000002"/>
    <n v="17"/>
    <m/>
  </r>
  <r>
    <x v="382"/>
    <n v="0"/>
    <n v="0"/>
    <n v="3"/>
    <n v="-3"/>
    <n v="851"/>
    <n v="2.3222"/>
    <n v="16"/>
    <m/>
  </r>
  <r>
    <x v="383"/>
    <n v="0"/>
    <n v="0"/>
    <n v="1"/>
    <n v="-4"/>
    <n v="891"/>
    <n v="2.3487"/>
    <n v="17"/>
    <m/>
  </r>
  <r>
    <x v="384"/>
    <n v="1"/>
    <n v="1"/>
    <n v="5"/>
    <n v="-7"/>
    <n v="810"/>
    <n v="2.2894999999999999"/>
    <n v="17"/>
    <m/>
  </r>
  <r>
    <x v="385"/>
    <n v="0"/>
    <n v="0"/>
    <n v="-16"/>
    <n v="-3"/>
    <n v="857"/>
    <n v="2.3814000000000002"/>
    <n v="18"/>
    <m/>
  </r>
  <r>
    <x v="386"/>
    <n v="0"/>
    <n v="1"/>
    <n v="-113"/>
    <n v="-3"/>
    <n v="789"/>
    <n v="2.1884999999999999"/>
    <n v="18"/>
    <m/>
  </r>
  <r>
    <x v="387"/>
    <n v="1"/>
    <n v="1"/>
    <n v="1"/>
    <n v="-2"/>
    <n v="698"/>
    <n v="1.8401000000000001"/>
    <n v="16"/>
    <m/>
  </r>
  <r>
    <x v="388"/>
    <n v="0"/>
    <n v="1"/>
    <n v="5"/>
    <n v="-1"/>
    <n v="779"/>
    <n v="2.2786"/>
    <n v="19"/>
    <m/>
  </r>
  <r>
    <x v="389"/>
    <n v="0"/>
    <n v="0"/>
    <n v="-64"/>
    <n v="-7"/>
    <n v="687"/>
    <n v="3.0657999999999999"/>
    <n v="27"/>
    <m/>
  </r>
  <r>
    <x v="390"/>
    <n v="1"/>
    <n v="0"/>
    <n v="-7"/>
    <n v="-2"/>
    <n v="597"/>
    <n v="1.6075999999999999"/>
    <n v="17"/>
    <m/>
  </r>
  <r>
    <x v="391"/>
    <n v="0"/>
    <n v="0"/>
    <n v="5"/>
    <n v="-1"/>
    <n v="602"/>
    <n v="1.5878000000000001"/>
    <n v="16"/>
    <m/>
  </r>
  <r>
    <x v="392"/>
    <n v="0"/>
    <n v="0"/>
    <n v="-2"/>
    <n v="-2"/>
    <n v="634"/>
    <n v="1.6868000000000001"/>
    <n v="16"/>
    <m/>
  </r>
  <r>
    <x v="393"/>
    <n v="0"/>
    <n v="0"/>
    <n v="-3"/>
    <n v="-8"/>
    <n v="817"/>
    <n v="2.2145000000000001"/>
    <n v="17"/>
    <m/>
  </r>
  <r>
    <x v="394"/>
    <n v="1"/>
    <n v="2"/>
    <n v="-52"/>
    <n v="-5"/>
    <n v="758"/>
    <n v="2.0548000000000002"/>
    <n v="17"/>
    <m/>
  </r>
  <r>
    <x v="395"/>
    <n v="1"/>
    <n v="0"/>
    <n v="-9"/>
    <n v="-4"/>
    <n v="818"/>
    <n v="2.1495000000000002"/>
    <n v="16"/>
    <m/>
  </r>
  <r>
    <x v="396"/>
    <n v="0"/>
    <n v="0"/>
    <n v="-61"/>
    <n v="-10"/>
    <n v="793"/>
    <n v="2.0918000000000001"/>
    <n v="16"/>
    <m/>
  </r>
  <r>
    <x v="397"/>
    <n v="1"/>
    <n v="0"/>
    <n v="1"/>
    <n v="0"/>
    <n v="605"/>
    <n v="1.6266"/>
    <n v="17"/>
    <m/>
  </r>
  <r>
    <x v="398"/>
    <n v="0"/>
    <n v="1"/>
    <n v="3"/>
    <n v="-1"/>
    <n v="707"/>
    <n v="1.8956"/>
    <n v="17"/>
    <m/>
  </r>
  <r>
    <x v="399"/>
    <n v="0"/>
    <n v="0"/>
    <n v="-35"/>
    <n v="-4"/>
    <n v="613"/>
    <n v="1.6521999999999999"/>
    <n v="16"/>
    <m/>
  </r>
  <r>
    <x v="400"/>
    <n v="0"/>
    <n v="0"/>
    <n v="-25"/>
    <n v="3"/>
    <n v="822"/>
    <n v="2.1815000000000002"/>
    <n v="19"/>
    <m/>
  </r>
  <r>
    <x v="401"/>
    <n v="0"/>
    <n v="0"/>
    <n v="-4"/>
    <n v="-1"/>
    <n v="758"/>
    <n v="1.7355"/>
    <n v="16"/>
    <m/>
  </r>
  <r>
    <x v="402"/>
    <n v="0"/>
    <n v="0"/>
    <n v="-25"/>
    <n v="-4"/>
    <n v="812"/>
    <n v="1.8812"/>
    <n v="15"/>
    <m/>
  </r>
  <r>
    <x v="403"/>
    <n v="0"/>
    <n v="0"/>
    <n v="-28"/>
    <n v="-2"/>
    <n v="800"/>
    <n v="2.0794000000000001"/>
    <n v="18"/>
    <m/>
  </r>
  <r>
    <x v="404"/>
    <n v="0"/>
    <n v="0"/>
    <n v="3"/>
    <n v="-8"/>
    <n v="708"/>
    <n v="1.9478"/>
    <n v="20"/>
    <m/>
  </r>
  <r>
    <x v="405"/>
    <n v="0"/>
    <n v="0"/>
    <n v="-5"/>
    <n v="-2"/>
    <n v="616"/>
    <n v="1.488"/>
    <n v="16"/>
    <m/>
  </r>
  <r>
    <x v="406"/>
    <n v="0"/>
    <n v="0"/>
    <n v="5"/>
    <n v="0"/>
    <n v="690"/>
    <n v="1.7935000000000001"/>
    <n v="18"/>
    <m/>
  </r>
  <r>
    <x v="407"/>
    <n v="0"/>
    <n v="0"/>
    <n v="0"/>
    <n v="-1"/>
    <n v="801"/>
    <n v="2.3182999999999998"/>
    <n v="20"/>
    <m/>
  </r>
  <r>
    <x v="408"/>
    <n v="1"/>
    <n v="0"/>
    <n v="5"/>
    <n v="-2"/>
    <n v="965"/>
    <n v="2.4358"/>
    <n v="17"/>
    <m/>
  </r>
  <r>
    <x v="409"/>
    <n v="0"/>
    <n v="0"/>
    <n v="-87"/>
    <n v="-2"/>
    <n v="910"/>
    <n v="2.2679"/>
    <n v="17"/>
    <m/>
  </r>
  <r>
    <x v="410"/>
    <n v="0"/>
    <n v="0"/>
    <n v="-58"/>
    <n v="-4"/>
    <n v="757"/>
    <n v="2.1760000000000002"/>
    <n v="20"/>
    <m/>
  </r>
  <r>
    <x v="411"/>
    <n v="0"/>
    <n v="0"/>
    <n v="4"/>
    <n v="-2"/>
    <n v="750"/>
    <n v="1.8326"/>
    <n v="17"/>
    <m/>
  </r>
  <r>
    <x v="412"/>
    <n v="1"/>
    <n v="0"/>
    <n v="8"/>
    <n v="-1"/>
    <n v="732"/>
    <n v="1.7685"/>
    <n v="17"/>
    <m/>
  </r>
  <r>
    <x v="413"/>
    <n v="0"/>
    <n v="0"/>
    <n v="3"/>
    <n v="0"/>
    <n v="744"/>
    <n v="1.849"/>
    <n v="18"/>
    <m/>
  </r>
  <r>
    <x v="414"/>
    <n v="3"/>
    <n v="0"/>
    <n v="4"/>
    <n v="0"/>
    <n v="903"/>
    <n v="2.0825999999999998"/>
    <n v="17"/>
    <m/>
  </r>
  <r>
    <x v="415"/>
    <n v="0"/>
    <n v="0"/>
    <n v="6"/>
    <n v="-2"/>
    <n v="845"/>
    <n v="2.0478000000000001"/>
    <n v="17"/>
    <m/>
  </r>
  <r>
    <x v="416"/>
    <n v="0"/>
    <n v="0"/>
    <n v="-5"/>
    <n v="-2"/>
    <n v="941"/>
    <n v="2.2473999999999998"/>
    <n v="17"/>
    <m/>
  </r>
  <r>
    <x v="417"/>
    <n v="0"/>
    <n v="0"/>
    <n v="2"/>
    <n v="-5"/>
    <n v="804"/>
    <n v="1.9786999999999999"/>
    <n v="16"/>
    <m/>
  </r>
  <r>
    <x v="418"/>
    <n v="0"/>
    <n v="1"/>
    <n v="8"/>
    <n v="-4"/>
    <n v="717"/>
    <n v="1.7435"/>
    <n v="17"/>
    <m/>
  </r>
  <r>
    <x v="419"/>
    <n v="1"/>
    <n v="0"/>
    <n v="1"/>
    <n v="0"/>
    <n v="734"/>
    <n v="1.8946000000000001"/>
    <n v="18"/>
    <m/>
  </r>
  <r>
    <x v="420"/>
    <n v="0"/>
    <n v="0"/>
    <n v="-1"/>
    <n v="-10"/>
    <n v="705"/>
    <n v="1.7181"/>
    <n v="18"/>
    <m/>
  </r>
  <r>
    <x v="421"/>
    <n v="0"/>
    <n v="0"/>
    <n v="-119"/>
    <n v="0"/>
    <n v="721"/>
    <n v="1.8075000000000001"/>
    <n v="18"/>
    <m/>
  </r>
  <r>
    <x v="422"/>
    <n v="1"/>
    <n v="0"/>
    <n v="-77"/>
    <n v="-5"/>
    <n v="782"/>
    <n v="1.8008"/>
    <n v="17"/>
    <m/>
  </r>
  <r>
    <x v="423"/>
    <n v="0"/>
    <n v="0"/>
    <n v="-84"/>
    <n v="-2"/>
    <n v="795"/>
    <n v="1.7470000000000001"/>
    <n v="15"/>
    <m/>
  </r>
  <r>
    <x v="424"/>
    <n v="0"/>
    <n v="0"/>
    <n v="0"/>
    <n v="-1"/>
    <n v="793"/>
    <n v="1.8081"/>
    <n v="17"/>
    <m/>
  </r>
  <r>
    <x v="425"/>
    <n v="1"/>
    <n v="0"/>
    <n v="2"/>
    <n v="0"/>
    <n v="633"/>
    <n v="1.4618"/>
    <n v="17"/>
    <m/>
  </r>
  <r>
    <x v="426"/>
    <n v="0"/>
    <n v="1"/>
    <n v="6"/>
    <n v="1"/>
    <n v="667"/>
    <n v="1.6034999999999999"/>
    <n v="18"/>
    <m/>
  </r>
  <r>
    <x v="427"/>
    <n v="0"/>
    <n v="0"/>
    <n v="2"/>
    <n v="-1"/>
    <n v="714"/>
    <n v="1.601"/>
    <n v="17"/>
    <m/>
  </r>
  <r>
    <x v="428"/>
    <n v="0"/>
    <n v="1"/>
    <n v="1"/>
    <n v="0"/>
    <n v="737"/>
    <n v="1.5774999999999999"/>
    <n v="16"/>
    <m/>
  </r>
  <r>
    <x v="429"/>
    <n v="0"/>
    <n v="1"/>
    <n v="0"/>
    <n v="-2"/>
    <n v="564"/>
    <n v="1.3481000000000001"/>
    <n v="16"/>
    <m/>
  </r>
  <r>
    <x v="430"/>
    <n v="0"/>
    <n v="0"/>
    <n v="6"/>
    <n v="-6"/>
    <n v="631"/>
    <n v="1.5124"/>
    <n v="17"/>
    <m/>
  </r>
  <r>
    <x v="431"/>
    <n v="1"/>
    <n v="0"/>
    <n v="-2"/>
    <n v="-2"/>
    <n v="614"/>
    <n v="1.4746999999999999"/>
    <n v="16"/>
    <m/>
  </r>
  <r>
    <x v="432"/>
    <n v="0"/>
    <m/>
    <n v="-1"/>
    <n v="-1"/>
    <n v="472"/>
    <n v="1.1669"/>
    <n v="1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62D67-CAC3-414E-8AA3-80013916DA3A}" name="PvtTrend" cacheId="19" applyNumberFormats="0" applyBorderFormats="0" applyFontFormats="0" applyPatternFormats="0" applyAlignmentFormats="0" applyWidthHeightFormats="1" dataCaption="Değerler" updatedVersion="8" minRefreshableVersion="5" useAutoFormatting="1" itemPrintTitles="1" createdVersion="8" indent="0" outline="1" outlineData="1" multipleFieldFilters="0" chartFormat="13">
  <location ref="AF3:AH21" firstHeaderRow="0" firstDataRow="1" firstDataCol="1"/>
  <pivotFields count="12">
    <pivotField numFmtId="14" showAll="0">
      <items count="4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t="default"/>
      </items>
    </pivotField>
    <pivotField numFmtId="3" showAll="0"/>
    <pivotField showAll="0"/>
    <pivotField numFmtId="3" showAll="0"/>
    <pivotField dataField="1" numFmtId="3" showAll="0"/>
    <pivotField dataField="1" numFmtId="164" showAll="0"/>
    <pivotField numFmtId="165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1"/>
    <field x="9"/>
  </rowFields>
  <rowItems count="18">
    <i>
      <x v="1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Görüntüleme" fld="5" baseField="0" baseItem="0" numFmtId="164"/>
    <dataField name="Toplam Aboneler" fld="4" baseField="0" baseItem="0" numFmtId="3"/>
  </dataFields>
  <chartFormats count="2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0CDCAD-2316-41B2-9743-023BB4958436}" name="PvtVideo" cacheId="11" applyNumberFormats="0" applyBorderFormats="0" applyFontFormats="0" applyPatternFormats="0" applyAlignmentFormats="0" applyWidthHeightFormats="1" dataCaption="Değerler" updatedVersion="8" minRefreshableVersion="5" useAutoFormatting="1" itemPrintTitles="1" createdVersion="8" indent="0" compact="0" compactData="0" multipleFieldFilters="0">
  <location ref="R3:AC158" firstHeaderRow="0" firstDataRow="1" firstDataCol="1"/>
  <pivotFields count="23">
    <pivotField dataField="1" compact="0" outline="0" showAll="0"/>
    <pivotField compact="0" outline="0" showAll="0">
      <items count="150">
        <item x="59"/>
        <item x="95"/>
        <item x="100"/>
        <item x="0"/>
        <item x="79"/>
        <item x="96"/>
        <item x="94"/>
        <item x="71"/>
        <item x="97"/>
        <item x="81"/>
        <item x="90"/>
        <item x="65"/>
        <item x="102"/>
        <item x="45"/>
        <item x="39"/>
        <item x="26"/>
        <item x="37"/>
        <item x="66"/>
        <item x="21"/>
        <item x="98"/>
        <item x="16"/>
        <item x="12"/>
        <item x="49"/>
        <item x="13"/>
        <item x="32"/>
        <item x="20"/>
        <item x="25"/>
        <item x="22"/>
        <item x="24"/>
        <item x="38"/>
        <item x="69"/>
        <item x="40"/>
        <item x="60"/>
        <item x="23"/>
        <item x="19"/>
        <item x="29"/>
        <item x="31"/>
        <item x="44"/>
        <item x="70"/>
        <item x="54"/>
        <item x="57"/>
        <item x="30"/>
        <item x="17"/>
        <item x="28"/>
        <item x="35"/>
        <item x="51"/>
        <item x="46"/>
        <item x="42"/>
        <item x="56"/>
        <item x="50"/>
        <item x="52"/>
        <item x="18"/>
        <item x="68"/>
        <item x="43"/>
        <item x="34"/>
        <item x="8"/>
        <item x="47"/>
        <item x="15"/>
        <item x="11"/>
        <item x="48"/>
        <item x="41"/>
        <item x="33"/>
        <item x="61"/>
        <item x="93"/>
        <item x="62"/>
        <item x="89"/>
        <item x="91"/>
        <item x="74"/>
        <item x="101"/>
        <item x="55"/>
        <item x="92"/>
        <item x="58"/>
        <item x="72"/>
        <item x="64"/>
        <item x="75"/>
        <item x="53"/>
        <item x="14"/>
        <item x="87"/>
        <item x="78"/>
        <item x="2"/>
        <item x="27"/>
        <item x="84"/>
        <item x="77"/>
        <item x="80"/>
        <item x="63"/>
        <item x="67"/>
        <item x="4"/>
        <item x="135"/>
        <item x="115"/>
        <item x="111"/>
        <item x="116"/>
        <item x="134"/>
        <item x="114"/>
        <item x="112"/>
        <item x="123"/>
        <item x="129"/>
        <item x="145"/>
        <item x="130"/>
        <item x="113"/>
        <item x="148"/>
        <item x="119"/>
        <item x="147"/>
        <item x="136"/>
        <item x="120"/>
        <item x="137"/>
        <item x="118"/>
        <item x="131"/>
        <item x="143"/>
        <item x="133"/>
        <item x="110"/>
        <item x="125"/>
        <item x="132"/>
        <item x="139"/>
        <item x="108"/>
        <item x="126"/>
        <item x="104"/>
        <item x="121"/>
        <item x="142"/>
        <item x="106"/>
        <item x="127"/>
        <item x="105"/>
        <item x="146"/>
        <item x="140"/>
        <item x="138"/>
        <item x="124"/>
        <item x="103"/>
        <item x="141"/>
        <item x="107"/>
        <item x="128"/>
        <item x="122"/>
        <item x="109"/>
        <item x="144"/>
        <item x="82"/>
        <item x="76"/>
        <item x="99"/>
        <item x="83"/>
        <item x="86"/>
        <item x="5"/>
        <item x="7"/>
        <item x="3"/>
        <item x="6"/>
        <item x="1"/>
        <item x="117"/>
        <item x="88"/>
        <item x="85"/>
        <item x="36"/>
        <item x="73"/>
        <item x="9"/>
        <item x="10"/>
        <item t="default"/>
      </items>
    </pivotField>
    <pivotField compact="0" numFmtId="1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outline="0" showAll="0"/>
    <pivotField dataField="1" compact="0" numFmtId="3" outline="0" showAll="0"/>
    <pivotField dataField="1" compact="0" numFmtId="1" outline="0" showAll="0"/>
    <pivotField dataField="1" compact="0" numFmtId="164" outline="0" showAll="0"/>
    <pivotField compact="0" outline="0" showAll="0"/>
    <pivotField compact="0" numFmtId="167" outline="0" showAll="0"/>
    <pivotField dataField="1" compact="0" numFmtId="164" outline="0" showAll="0"/>
    <pivotField dataField="1" compact="0" numFmtId="165" outline="0" showAll="0"/>
    <pivotField dataField="1" compact="0" numFmtId="3" outline="0" showAll="0"/>
    <pivotField compact="0" outline="0" showAll="0"/>
    <pivotField compact="0" numFmtId="3" outline="0" showAll="0"/>
    <pivotField compact="0" numFmtId="10" outline="0" showAll="0"/>
    <pivotField name="Video Türü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compact="0" outline="0" showAll="0"/>
    <pivotField axis="axisRow" compact="0" outline="0" showAll="0">
      <items count="155">
        <item x="59"/>
        <item x="95"/>
        <item x="100"/>
        <item x="0"/>
        <item x="79"/>
        <item x="96"/>
        <item x="94"/>
        <item x="71"/>
        <item x="97"/>
        <item x="81"/>
        <item x="90"/>
        <item x="65"/>
        <item x="102"/>
        <item x="45"/>
        <item x="39"/>
        <item x="26"/>
        <item x="37"/>
        <item x="66"/>
        <item x="21"/>
        <item x="98"/>
        <item x="16"/>
        <item x="12"/>
        <item x="49"/>
        <item x="13"/>
        <item x="32"/>
        <item x="20"/>
        <item x="25"/>
        <item x="22"/>
        <item x="24"/>
        <item x="38"/>
        <item x="69"/>
        <item x="40"/>
        <item x="60"/>
        <item x="23"/>
        <item x="19"/>
        <item x="29"/>
        <item x="31"/>
        <item x="44"/>
        <item x="70"/>
        <item x="54"/>
        <item x="57"/>
        <item x="30"/>
        <item x="17"/>
        <item x="28"/>
        <item x="35"/>
        <item x="51"/>
        <item x="46"/>
        <item x="42"/>
        <item x="56"/>
        <item x="50"/>
        <item x="52"/>
        <item x="18"/>
        <item x="68"/>
        <item x="43"/>
        <item x="34"/>
        <item x="8"/>
        <item x="47"/>
        <item x="15"/>
        <item x="11"/>
        <item x="48"/>
        <item x="41"/>
        <item x="33"/>
        <item x="61"/>
        <item x="93"/>
        <item x="62"/>
        <item x="89"/>
        <item x="91"/>
        <item x="74"/>
        <item x="101"/>
        <item x="55"/>
        <item x="92"/>
        <item x="58"/>
        <item x="72"/>
        <item x="64"/>
        <item x="75"/>
        <item x="53"/>
        <item x="14"/>
        <item x="87"/>
        <item x="78"/>
        <item x="2"/>
        <item x="27"/>
        <item x="84"/>
        <item x="77"/>
        <item x="80"/>
        <item x="63"/>
        <item x="67"/>
        <item x="4"/>
        <item x="138"/>
        <item x="115"/>
        <item x="111"/>
        <item x="116"/>
        <item x="137"/>
        <item x="114"/>
        <item x="112"/>
        <item x="125"/>
        <item x="131"/>
        <item x="150"/>
        <item x="132"/>
        <item x="113"/>
        <item x="153"/>
        <item x="145"/>
        <item x="120"/>
        <item x="152"/>
        <item x="140"/>
        <item x="121"/>
        <item x="141"/>
        <item x="118"/>
        <item x="134"/>
        <item x="148"/>
        <item x="136"/>
        <item x="110"/>
        <item x="127"/>
        <item x="135"/>
        <item x="143"/>
        <item x="108"/>
        <item x="139"/>
        <item x="128"/>
        <item x="104"/>
        <item x="123"/>
        <item x="133"/>
        <item x="147"/>
        <item x="106"/>
        <item x="129"/>
        <item x="122"/>
        <item x="105"/>
        <item x="151"/>
        <item x="144"/>
        <item x="142"/>
        <item x="126"/>
        <item x="103"/>
        <item x="146"/>
        <item x="107"/>
        <item x="130"/>
        <item x="124"/>
        <item x="119"/>
        <item x="109"/>
        <item x="149"/>
        <item x="82"/>
        <item x="76"/>
        <item x="99"/>
        <item x="83"/>
        <item x="86"/>
        <item x="5"/>
        <item x="7"/>
        <item x="3"/>
        <item x="6"/>
        <item x="1"/>
        <item x="117"/>
        <item x="88"/>
        <item x="85"/>
        <item x="36"/>
        <item x="73"/>
        <item x="9"/>
        <item x="10"/>
        <item t="default"/>
      </items>
    </pivotField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18"/>
  </rowFields>
  <rowItems count="1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Video Sayısı" fld="0" subtotal="count" baseField="0" baseItem="0"/>
    <dataField name="Görüntüleme " fld="9" baseField="0" baseItem="0" numFmtId="164"/>
    <dataField name="Paylaşım" fld="4" baseField="0" baseItem="0" numFmtId="3"/>
    <dataField name="Ort. İzlenme %" fld="19" baseField="0" baseItem="0" numFmtId="167"/>
    <dataField name="Yorum" fld="5" baseField="0" baseItem="0" numFmtId="3"/>
    <dataField name="İzlenme (saat)" fld="10" baseField="0" baseItem="0" numFmtId="165"/>
    <dataField name="Tür başına ort görüntüleme" fld="22" baseField="0" baseItem="0" numFmtId="168"/>
    <dataField name="Beğeni" fld="6" baseField="0" baseItem="0" numFmtId="164"/>
    <dataField name="Abone" fld="11" baseField="0" baseItem="0" numFmtId="3"/>
    <dataField name="Etkileşim Oranı " fld="20" subtotal="count" baseField="0" baseItem="0" numFmtId="10"/>
    <dataField name="Abone / 1000" fld="21" subtotal="count" baseField="0" baseItem="0" numFmtId="165"/>
  </dataFields>
  <formats count="7">
    <format dxfId="6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2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63">
      <pivotArea outline="0" fieldPosition="0">
        <references count="1">
          <reference field="4294967294" count="1" selected="0">
            <x v="10"/>
          </reference>
        </references>
      </pivotArea>
    </format>
    <format dxfId="64">
      <pivotArea outline="0" fieldPosition="0">
        <references count="1">
          <reference field="4294967294" count="1" selected="0">
            <x v="9"/>
          </reference>
        </references>
      </pivotArea>
    </format>
    <format dxfId="65">
      <pivotArea outline="0" fieldPosition="0">
        <references count="1">
          <reference field="4294967294" count="1" selected="0">
            <x v="6"/>
          </reference>
        </references>
      </pivotArea>
    </format>
    <format dxfId="66">
      <pivotArea outline="0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dateBetween" evalOrder="-1" id="98" name="Videonun yayınlanma tarihi">
      <autoFilter ref="A1">
        <filterColumn colId="0">
          <customFilters and="1">
            <customFilter operator="greaterThanOrEqual" val="45658"/>
            <customFilter operator="lessThanOrEqual" val="4614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0E1C5-5F1B-4966-B7B7-FE628F08258D}" name="PvtTur" cacheId="11" applyNumberFormats="0" applyBorderFormats="0" applyFontFormats="0" applyPatternFormats="0" applyAlignmentFormats="0" applyWidthHeightFormats="1" dataCaption="Değerler" updatedVersion="8" minRefreshableVersion="5" useAutoFormatting="1" itemPrintTitles="1" createdVersion="8" indent="0" compact="0" compactData="0" multipleFieldFilters="0">
  <location ref="A3:L9" firstHeaderRow="0" firstDataRow="1" firstDataCol="1"/>
  <pivotFields count="23">
    <pivotField dataField="1" compact="0" outline="0" showAll="0"/>
    <pivotField compact="0" outline="0" showAll="0">
      <items count="150">
        <item x="59"/>
        <item x="95"/>
        <item x="100"/>
        <item x="0"/>
        <item x="79"/>
        <item x="96"/>
        <item x="94"/>
        <item x="71"/>
        <item x="97"/>
        <item x="81"/>
        <item x="90"/>
        <item x="65"/>
        <item x="102"/>
        <item x="45"/>
        <item x="39"/>
        <item x="26"/>
        <item x="37"/>
        <item x="66"/>
        <item x="21"/>
        <item x="98"/>
        <item x="16"/>
        <item x="12"/>
        <item x="49"/>
        <item x="13"/>
        <item x="32"/>
        <item x="20"/>
        <item x="25"/>
        <item x="22"/>
        <item x="24"/>
        <item x="38"/>
        <item x="69"/>
        <item x="40"/>
        <item x="60"/>
        <item x="23"/>
        <item x="19"/>
        <item x="29"/>
        <item x="31"/>
        <item x="44"/>
        <item x="70"/>
        <item x="54"/>
        <item x="57"/>
        <item x="30"/>
        <item x="17"/>
        <item x="28"/>
        <item x="35"/>
        <item x="51"/>
        <item x="46"/>
        <item x="42"/>
        <item x="56"/>
        <item x="50"/>
        <item x="52"/>
        <item x="18"/>
        <item x="68"/>
        <item x="43"/>
        <item x="34"/>
        <item x="8"/>
        <item x="47"/>
        <item x="15"/>
        <item x="11"/>
        <item x="48"/>
        <item x="41"/>
        <item x="33"/>
        <item x="61"/>
        <item x="93"/>
        <item x="62"/>
        <item x="89"/>
        <item x="91"/>
        <item x="74"/>
        <item x="101"/>
        <item x="55"/>
        <item x="92"/>
        <item x="58"/>
        <item x="72"/>
        <item x="64"/>
        <item x="75"/>
        <item x="53"/>
        <item x="14"/>
        <item x="87"/>
        <item x="78"/>
        <item x="2"/>
        <item x="27"/>
        <item x="84"/>
        <item x="77"/>
        <item x="80"/>
        <item x="63"/>
        <item x="67"/>
        <item x="4"/>
        <item x="135"/>
        <item x="115"/>
        <item x="111"/>
        <item x="116"/>
        <item x="134"/>
        <item x="114"/>
        <item x="112"/>
        <item x="123"/>
        <item x="129"/>
        <item x="145"/>
        <item x="130"/>
        <item x="113"/>
        <item x="148"/>
        <item x="119"/>
        <item x="147"/>
        <item x="136"/>
        <item x="120"/>
        <item x="137"/>
        <item x="118"/>
        <item x="131"/>
        <item x="143"/>
        <item x="133"/>
        <item x="110"/>
        <item x="125"/>
        <item x="132"/>
        <item x="139"/>
        <item x="108"/>
        <item x="126"/>
        <item x="104"/>
        <item x="121"/>
        <item x="142"/>
        <item x="106"/>
        <item x="127"/>
        <item x="105"/>
        <item x="146"/>
        <item x="140"/>
        <item x="138"/>
        <item x="124"/>
        <item x="103"/>
        <item x="141"/>
        <item x="107"/>
        <item x="128"/>
        <item x="122"/>
        <item x="109"/>
        <item x="144"/>
        <item x="82"/>
        <item x="76"/>
        <item x="99"/>
        <item x="83"/>
        <item x="86"/>
        <item x="5"/>
        <item x="7"/>
        <item x="3"/>
        <item x="6"/>
        <item x="1"/>
        <item x="117"/>
        <item x="88"/>
        <item x="85"/>
        <item x="36"/>
        <item x="73"/>
        <item x="9"/>
        <item x="10"/>
        <item t="default"/>
      </items>
    </pivotField>
    <pivotField compact="0" numFmtId="14" outline="0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outline="0" showAll="0"/>
    <pivotField dataField="1" compact="0" numFmtId="3" outline="0" showAll="0"/>
    <pivotField dataField="1" compact="0" numFmtId="1" outline="0" showAll="0"/>
    <pivotField dataField="1" compact="0" numFmtId="164" outline="0" showAll="0"/>
    <pivotField compact="0" outline="0" showAll="0"/>
    <pivotField compact="0" numFmtId="167" outline="0" showAll="0"/>
    <pivotField dataField="1" compact="0" numFmtId="164" outline="0" showAll="0"/>
    <pivotField dataField="1" compact="0" numFmtId="165" outline="0" showAll="0"/>
    <pivotField dataField="1" compact="0" numFmtId="3" outline="0" showAll="0"/>
    <pivotField compact="0" outline="0" showAll="0"/>
    <pivotField compact="0" numFmtId="3" outline="0" showAll="0"/>
    <pivotField compact="0" numFmtId="10" outline="0" showAll="0"/>
    <pivotField name="Video Türü" axis="axisRow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compact="0" outline="0" showAll="0"/>
    <pivotField compact="0" outline="0" showAll="0">
      <items count="155">
        <item x="59"/>
        <item x="95"/>
        <item x="100"/>
        <item x="0"/>
        <item x="79"/>
        <item x="96"/>
        <item x="94"/>
        <item x="71"/>
        <item x="97"/>
        <item x="81"/>
        <item x="90"/>
        <item x="65"/>
        <item x="102"/>
        <item x="45"/>
        <item x="39"/>
        <item x="26"/>
        <item x="37"/>
        <item x="66"/>
        <item x="21"/>
        <item x="98"/>
        <item x="16"/>
        <item x="12"/>
        <item x="49"/>
        <item x="13"/>
        <item x="32"/>
        <item x="20"/>
        <item x="25"/>
        <item x="22"/>
        <item x="24"/>
        <item x="38"/>
        <item x="69"/>
        <item x="40"/>
        <item x="60"/>
        <item x="23"/>
        <item x="19"/>
        <item x="29"/>
        <item x="31"/>
        <item x="44"/>
        <item x="70"/>
        <item x="54"/>
        <item x="57"/>
        <item x="30"/>
        <item x="17"/>
        <item x="28"/>
        <item x="35"/>
        <item x="51"/>
        <item x="46"/>
        <item x="42"/>
        <item x="56"/>
        <item x="50"/>
        <item x="52"/>
        <item x="18"/>
        <item x="68"/>
        <item x="43"/>
        <item x="34"/>
        <item x="8"/>
        <item x="47"/>
        <item x="15"/>
        <item x="11"/>
        <item x="48"/>
        <item x="41"/>
        <item x="33"/>
        <item x="61"/>
        <item x="93"/>
        <item x="62"/>
        <item x="89"/>
        <item x="91"/>
        <item x="74"/>
        <item x="101"/>
        <item x="55"/>
        <item x="92"/>
        <item x="58"/>
        <item x="72"/>
        <item x="64"/>
        <item x="75"/>
        <item x="53"/>
        <item x="14"/>
        <item x="87"/>
        <item x="78"/>
        <item x="2"/>
        <item x="27"/>
        <item x="84"/>
        <item x="77"/>
        <item x="80"/>
        <item x="63"/>
        <item x="67"/>
        <item x="4"/>
        <item x="138"/>
        <item x="115"/>
        <item x="111"/>
        <item x="116"/>
        <item x="137"/>
        <item x="114"/>
        <item x="112"/>
        <item x="125"/>
        <item x="131"/>
        <item x="150"/>
        <item x="132"/>
        <item x="113"/>
        <item x="153"/>
        <item x="145"/>
        <item x="120"/>
        <item x="152"/>
        <item x="140"/>
        <item x="121"/>
        <item x="141"/>
        <item x="118"/>
        <item x="134"/>
        <item x="148"/>
        <item x="136"/>
        <item x="110"/>
        <item x="127"/>
        <item x="135"/>
        <item x="143"/>
        <item x="108"/>
        <item x="139"/>
        <item x="128"/>
        <item x="104"/>
        <item x="123"/>
        <item x="133"/>
        <item x="147"/>
        <item x="106"/>
        <item x="129"/>
        <item x="122"/>
        <item x="105"/>
        <item x="151"/>
        <item x="144"/>
        <item x="142"/>
        <item x="126"/>
        <item x="103"/>
        <item x="146"/>
        <item x="107"/>
        <item x="130"/>
        <item x="124"/>
        <item x="119"/>
        <item x="109"/>
        <item x="149"/>
        <item x="82"/>
        <item x="76"/>
        <item x="99"/>
        <item x="83"/>
        <item x="86"/>
        <item x="5"/>
        <item x="7"/>
        <item x="3"/>
        <item x="6"/>
        <item x="1"/>
        <item x="117"/>
        <item x="88"/>
        <item x="85"/>
        <item x="36"/>
        <item x="73"/>
        <item x="9"/>
        <item x="10"/>
        <item t="default"/>
      </items>
    </pivotField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Video Sayısı" fld="0" subtotal="count" baseField="0" baseItem="0"/>
    <dataField name="Görüntüleme " fld="9" baseField="0" baseItem="0" numFmtId="164"/>
    <dataField name="Paylaşım" fld="4" baseField="0" baseItem="0" numFmtId="3"/>
    <dataField name="Ort. İzlenme %" fld="19" baseField="0" baseItem="0" numFmtId="167"/>
    <dataField name="Yorum" fld="5" baseField="0" baseItem="0" numFmtId="3"/>
    <dataField name="İzlenme (saat)" fld="10" baseField="0" baseItem="0" numFmtId="165"/>
    <dataField name="Tür başına ort görüntüleme" fld="22" baseField="0" baseItem="0" numFmtId="168"/>
    <dataField name="Beğeni" fld="6" baseField="0" baseItem="0" numFmtId="164"/>
    <dataField name="Abone" fld="11" baseField="0" baseItem="0" numFmtId="3"/>
    <dataField name="Etkileşim Oranı " fld="20" subtotal="count" baseField="0" baseItem="0" numFmtId="10"/>
    <dataField name="Abone / 1000" fld="21" subtotal="count" baseField="0" baseItem="0" numFmtId="165"/>
  </dataFields>
  <formats count="8">
    <format dxfId="104">
      <pivotArea collapsedLevelsAreSubtotals="1" fieldPosition="0">
        <references count="2">
          <reference field="4294967294" count="1" selected="0">
            <x v="3"/>
          </reference>
          <reference field="15" count="1">
            <x v="0"/>
          </reference>
        </references>
      </pivotArea>
    </format>
    <format dxfId="10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0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01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00">
      <pivotArea outline="0" fieldPosition="0">
        <references count="1">
          <reference field="4294967294" count="1" selected="0">
            <x v="10"/>
          </reference>
        </references>
      </pivotArea>
    </format>
    <format dxfId="99">
      <pivotArea outline="0" fieldPosition="0">
        <references count="1">
          <reference field="4294967294" count="1" selected="0">
            <x v="9"/>
          </reference>
        </references>
      </pivotArea>
    </format>
    <format dxfId="98">
      <pivotArea outline="0" fieldPosition="0">
        <references count="1">
          <reference field="4294967294" count="1" selected="0">
            <x v="6"/>
          </reference>
        </references>
      </pivotArea>
    </format>
    <format dxfId="97">
      <pivotArea outline="0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dateBetween" evalOrder="-1" id="98" name="Videonun yayınlanma tarihi">
      <autoFilter ref="A1">
        <filterColumn colId="0">
          <customFilters and="1">
            <customFilter operator="greaterThanOrEqual" val="45658"/>
            <customFilter operator="lessThanOrEqual" val="4614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3" connectionId="1" xr16:uid="{148E6E1B-0598-4837-A9F8-6670CF104DEA}" autoFormatId="16" applyNumberFormats="0" applyBorderFormats="0" applyFontFormats="0" applyPatternFormats="0" applyAlignmentFormats="0" applyWidthHeightFormats="0">
  <queryTableRefresh nextId="21">
    <queryTableFields count="19">
      <queryTableField id="1" name="Video-ID" tableColumnId="1"/>
      <queryTableField id="2" name="Video başlığı" tableColumnId="2"/>
      <queryTableField id="3" name="Videonun yayınlanma tarihi" tableColumnId="3"/>
      <queryTableField id="4" name="Video süresi (sn)" tableColumnId="4"/>
      <queryTableField id="5" name="Paylaşım" tableColumnId="5"/>
      <queryTableField id="6" name="Eklenen yorum sayısı" tableColumnId="6"/>
      <queryTableField id="7" name="Beğenenler" tableColumnId="7"/>
      <queryTableField id="8" name="Ort. İzlenme (sn)" tableColumnId="8"/>
      <queryTableField id="9" name="Ortalama görüntüleme yüzdesi (%)" tableColumnId="9"/>
      <queryTableField id="10" name="Görüntüleme" tableColumnId="10"/>
      <queryTableField id="11" name="İzlenme süresi (saat)" tableColumnId="11"/>
      <queryTableField id="12" name="Aboneler" tableColumnId="12"/>
      <queryTableField id="13" name="Tahmini gelir (USD)" tableColumnId="13"/>
      <queryTableField id="14" name="Küçük resim gösterimleri" tableColumnId="14"/>
      <queryTableField id="15" name="Küçük resim tıklama oranı (%)" tableColumnId="15"/>
      <queryTableField id="17" name="Tür" tableColumnId="17"/>
      <queryTableField id="18" name="Yüzde_x_Goruntuleme" tableColumnId="18"/>
      <queryTableField id="19" name="Video_Sayisi" tableColumnId="19"/>
      <queryTableField id="20" name="Video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2" xr16:uid="{B50E15C2-FB52-4367-B7F2-C84B8C446EE5}" autoFormatId="16" applyNumberFormats="0" applyBorderFormats="0" applyFontFormats="0" applyPatternFormats="0" applyAlignmentFormats="0" applyWidthHeightFormats="0">
  <queryTableRefresh nextId="10">
    <queryTableFields count="9">
      <queryTableField id="1" name="Tarih" tableColumnId="1"/>
      <queryTableField id="2" name="Paylaşım" tableColumnId="2"/>
      <queryTableField id="3" name="Eklenen yorum sayısı" tableColumnId="3"/>
      <queryTableField id="4" name="Beğenenler" tableColumnId="4"/>
      <queryTableField id="5" name="Aboneler" tableColumnId="5"/>
      <queryTableField id="6" name="Görüntüleme" tableColumnId="6"/>
      <queryTableField id="7" name="İzlenme süresi (saat)" tableColumnId="7"/>
      <queryTableField id="8" name="Ort. İzlenme (sn)" tableColumnId="8"/>
      <queryTableField id="9" name="Tahmini gelir (USD)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2" connectionId="3" xr16:uid="{5F625D00-0B53-4719-8700-FE43732EB164}" autoFormatId="16" applyNumberFormats="0" applyBorderFormats="0" applyFontFormats="0" applyPatternFormats="0" applyAlignmentFormats="0" applyWidthHeightFormats="0">
  <queryTableRefresh nextId="6">
    <queryTableFields count="4">
      <queryTableField id="1" name="Konum" tableColumnId="1"/>
      <queryTableField id="2" name="Görüntüleme" tableColumnId="2"/>
      <queryTableField id="3" name="İzlenme süresi (saat)" tableColumnId="3"/>
      <queryTableField id="5" name="Ort. İzlenme (sn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4" xr16:uid="{6AA8AA07-0583-4637-AE2D-2D512C69A8AC}" autoFormatId="16" applyNumberFormats="0" applyBorderFormats="0" applyFontFormats="0" applyPatternFormats="0" applyAlignmentFormats="0" applyWidthHeightFormats="0">
  <queryTableRefresh nextId="9">
    <queryTableFields count="6">
      <queryTableField id="1" name="Trafik kaynağı" tableColumnId="1"/>
      <queryTableField id="2" name="Görüntüleme" tableColumnId="2"/>
      <queryTableField id="3" name="İzlenme süresi (saat)" tableColumnId="3"/>
      <queryTableField id="7" name="Ort. İzlenme (sn)" tableColumnId="7"/>
      <queryTableField id="5" name="Küçük resim gösterimleri" tableColumnId="5"/>
      <queryTableField id="6" name="Küçük resim tıklama oranı (%)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Video" xr10:uid="{B7BC8296-43ED-4753-8672-B48083FBA064}" sourceName="Video">
  <pivotTables>
    <pivotTable tabId="8" name="PvtVideo"/>
    <pivotTable tabId="8" name="PvtTur"/>
  </pivotTables>
  <data>
    <tabular pivotCacheId="519118694">
      <items count="154">
        <i x="59" s="1"/>
        <i x="95" s="1"/>
        <i x="100" s="1"/>
        <i x="0" s="1"/>
        <i x="79" s="1"/>
        <i x="96" s="1"/>
        <i x="94" s="1"/>
        <i x="71" s="1"/>
        <i x="97" s="1"/>
        <i x="81" s="1"/>
        <i x="90" s="1"/>
        <i x="65" s="1"/>
        <i x="102" s="1"/>
        <i x="45" s="1"/>
        <i x="39" s="1"/>
        <i x="26" s="1"/>
        <i x="37" s="1"/>
        <i x="66" s="1"/>
        <i x="21" s="1"/>
        <i x="98" s="1"/>
        <i x="16" s="1"/>
        <i x="12" s="1"/>
        <i x="49" s="1"/>
        <i x="13" s="1"/>
        <i x="32" s="1"/>
        <i x="20" s="1"/>
        <i x="25" s="1"/>
        <i x="22" s="1"/>
        <i x="24" s="1"/>
        <i x="38" s="1"/>
        <i x="69" s="1"/>
        <i x="40" s="1"/>
        <i x="60" s="1"/>
        <i x="23" s="1"/>
        <i x="19" s="1"/>
        <i x="29" s="1"/>
        <i x="31" s="1"/>
        <i x="44" s="1"/>
        <i x="70" s="1"/>
        <i x="54" s="1"/>
        <i x="57" s="1"/>
        <i x="30" s="1"/>
        <i x="17" s="1"/>
        <i x="28" s="1"/>
        <i x="35" s="1"/>
        <i x="51" s="1"/>
        <i x="46" s="1"/>
        <i x="42" s="1"/>
        <i x="56" s="1"/>
        <i x="50" s="1"/>
        <i x="52" s="1"/>
        <i x="18" s="1"/>
        <i x="68" s="1"/>
        <i x="43" s="1"/>
        <i x="34" s="1"/>
        <i x="8" s="1"/>
        <i x="47" s="1"/>
        <i x="15" s="1"/>
        <i x="11" s="1"/>
        <i x="48" s="1"/>
        <i x="41" s="1"/>
        <i x="33" s="1"/>
        <i x="61" s="1"/>
        <i x="93" s="1"/>
        <i x="62" s="1"/>
        <i x="89" s="1"/>
        <i x="91" s="1"/>
        <i x="74" s="1"/>
        <i x="101" s="1"/>
        <i x="55" s="1"/>
        <i x="92" s="1"/>
        <i x="58" s="1"/>
        <i x="72" s="1"/>
        <i x="64" s="1"/>
        <i x="75" s="1"/>
        <i x="53" s="1"/>
        <i x="14" s="1"/>
        <i x="87" s="1"/>
        <i x="78" s="1"/>
        <i x="2" s="1"/>
        <i x="27" s="1"/>
        <i x="84" s="1"/>
        <i x="77" s="1"/>
        <i x="80" s="1"/>
        <i x="63" s="1"/>
        <i x="67" s="1"/>
        <i x="4" s="1"/>
        <i x="138" s="1"/>
        <i x="115" s="1"/>
        <i x="111" s="1"/>
        <i x="116" s="1"/>
        <i x="137" s="1"/>
        <i x="114" s="1"/>
        <i x="112" s="1"/>
        <i x="125" s="1"/>
        <i x="131" s="1"/>
        <i x="150" s="1"/>
        <i x="132" s="1"/>
        <i x="113" s="1"/>
        <i x="153" s="1"/>
        <i x="145" s="1"/>
        <i x="120" s="1"/>
        <i x="152" s="1"/>
        <i x="140" s="1"/>
        <i x="121" s="1"/>
        <i x="141" s="1"/>
        <i x="118" s="1"/>
        <i x="134" s="1"/>
        <i x="148" s="1"/>
        <i x="136" s="1"/>
        <i x="110" s="1"/>
        <i x="127" s="1"/>
        <i x="135" s="1"/>
        <i x="143" s="1"/>
        <i x="108" s="1"/>
        <i x="139" s="1"/>
        <i x="128" s="1"/>
        <i x="104" s="1"/>
        <i x="123" s="1"/>
        <i x="133" s="1"/>
        <i x="147" s="1"/>
        <i x="106" s="1"/>
        <i x="129" s="1"/>
        <i x="122" s="1"/>
        <i x="105" s="1"/>
        <i x="151" s="1"/>
        <i x="144" s="1"/>
        <i x="142" s="1"/>
        <i x="126" s="1"/>
        <i x="103" s="1"/>
        <i x="146" s="1"/>
        <i x="107" s="1"/>
        <i x="130" s="1"/>
        <i x="124" s="1"/>
        <i x="119" s="1"/>
        <i x="109" s="1"/>
        <i x="149" s="1"/>
        <i x="82" s="1"/>
        <i x="76" s="1"/>
        <i x="99" s="1"/>
        <i x="83" s="1"/>
        <i x="86" s="1"/>
        <i x="5" s="1"/>
        <i x="7" s="1"/>
        <i x="3" s="1"/>
        <i x="6" s="1"/>
        <i x="1" s="1"/>
        <i x="117" s="1"/>
        <i x="88" s="1"/>
        <i x="85" s="1"/>
        <i x="36" s="1"/>
        <i x="73" s="1"/>
        <i x="9" s="1"/>
        <i x="1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ür" xr10:uid="{B1B25658-50EF-4611-AA20-A67E0524C3A9}" sourceName="Tür">
  <pivotTables>
    <pivotTable tabId="8" name="PvtVideo"/>
    <pivotTable tabId="8" name="PvtTur"/>
  </pivotTables>
  <data>
    <tabular pivotCacheId="519118694">
      <items count="5">
        <i x="2" s="1"/>
        <i x="0" s="1"/>
        <i x="1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ideo" xr10:uid="{620E2CA1-5FAF-47E3-9FA9-CC81A12ABA55}" cache="Dilimleyici_Video" caption="Video" columnCount="2" style="SlicerStyleDark3" rowHeight="257175"/>
  <slicer name="Video Türü" xr10:uid="{68395744-4561-4B03-B6E6-5A23BED38002}" cache="Dilimleyici_Tür" caption="Tür" columnCount="3" style="SlicerStyleDark3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D35611-231B-401E-B78F-BBA65E72CEE4}" name="İçerik" displayName="İçerik" ref="A1:S155" tableType="queryTable" totalsRowShown="0">
  <autoFilter ref="A1:S155" xr:uid="{B5D35611-231B-401E-B78F-BBA65E72CEE4}"/>
  <sortState xmlns:xlrd2="http://schemas.microsoft.com/office/spreadsheetml/2017/richdata2" ref="A2:S155">
    <sortCondition ref="C1:C155"/>
  </sortState>
  <tableColumns count="19">
    <tableColumn id="1" xr3:uid="{905CD8E6-9132-4F69-A663-5C32818344E6}" uniqueName="1" name="Video-ID" queryTableFieldId="1" dataDxfId="96"/>
    <tableColumn id="2" xr3:uid="{5672BE4E-994C-405A-B701-04B6F07C6A3C}" uniqueName="2" name="Video başlığı" queryTableFieldId="2" dataDxfId="95"/>
    <tableColumn id="3" xr3:uid="{4116E93E-0996-49AD-AE68-686AA4B93C70}" uniqueName="3" name="Videonun yayınlanma tarihi" queryTableFieldId="3" dataDxfId="91"/>
    <tableColumn id="4" xr3:uid="{FD7BB3F4-81B7-4583-8655-52FECB7A940E}" uniqueName="4" name="Video süresi (sn)" queryTableFieldId="4"/>
    <tableColumn id="5" xr3:uid="{109C9056-9671-4BE0-88A4-9816EB4D6F60}" uniqueName="5" name="Paylaşım" queryTableFieldId="5" dataDxfId="90"/>
    <tableColumn id="6" xr3:uid="{3CF59A93-2067-455A-B528-BE28AFD00904}" uniqueName="6" name="Eklenen yorum sayısı" queryTableFieldId="6" dataDxfId="89"/>
    <tableColumn id="7" xr3:uid="{5B8B4419-4DA6-407E-9DE7-2A7BEEA2EEC6}" uniqueName="7" name="Beğenenler" queryTableFieldId="7" dataDxfId="88" dataCellStyle="Virgül"/>
    <tableColumn id="8" xr3:uid="{CB8E6293-4FC9-4CB4-870B-6EB2CFC766E2}" uniqueName="8" name="Ort. İzlenme (sn)" queryTableFieldId="8"/>
    <tableColumn id="9" xr3:uid="{0D6825B3-0CB0-4005-8F10-EE2AC44D71F5}" uniqueName="9" name="Ortalama görüntüleme yüzdesi (%)" queryTableFieldId="9" dataDxfId="87" dataCellStyle="Yüzde"/>
    <tableColumn id="10" xr3:uid="{F7D698DB-3360-42B5-96CF-8A01DD044131}" uniqueName="10" name="Görüntüleme" queryTableFieldId="10" dataDxfId="86" dataCellStyle="Virgül"/>
    <tableColumn id="11" xr3:uid="{66FC5844-115C-4CB6-AE3F-8DBFBB29D01F}" uniqueName="11" name="İzlenme süresi (saat)" queryTableFieldId="11" dataDxfId="85"/>
    <tableColumn id="12" xr3:uid="{7E9005DF-395B-44E7-AFF1-D3588D51DC6A}" uniqueName="12" name="Aboneler" queryTableFieldId="12" dataDxfId="84"/>
    <tableColumn id="13" xr3:uid="{A45D1AED-E4FB-47EF-A4E1-F4105AA553D2}" uniqueName="13" name="Tahmini gelir (USD)" queryTableFieldId="13" dataDxfId="83"/>
    <tableColumn id="14" xr3:uid="{2A2FED9F-5BE0-4750-8117-A466667B76C0}" uniqueName="14" name="Küçük resim gösterimleri" queryTableFieldId="14" dataDxfId="82"/>
    <tableColumn id="15" xr3:uid="{AAC39CD0-93A9-436D-8B57-686521DA0F13}" uniqueName="15" name="Küçük resim tıklama oranı (%)" queryTableFieldId="15" dataDxfId="81"/>
    <tableColumn id="17" xr3:uid="{756A950F-2961-4177-951C-B23D2328D032}" uniqueName="17" name="Tür" queryTableFieldId="17" dataDxfId="94"/>
    <tableColumn id="18" xr3:uid="{C4962BAE-FA46-4C5E-9FD2-40B8931F80D5}" uniqueName="18" name="Yüzde_x_Goruntuleme" queryTableFieldId="18"/>
    <tableColumn id="19" xr3:uid="{ABF38851-EBCA-42D7-88F1-3EF31CF8BE89}" uniqueName="19" name="Video_Sayisi" queryTableFieldId="19"/>
    <tableColumn id="16" xr3:uid="{5ADA1B7D-549D-4DCC-BAA7-3C842F9DCD85}" uniqueName="16" name="Video" queryTableFieldId="20" dataDxfId="8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96456-BAC3-402B-B084-47DAE82E0633}" name="Kanal_Günlük" displayName="Kanal_Günlük" ref="A1:I434" tableType="queryTable" totalsRowShown="0">
  <autoFilter ref="A1:I434" xr:uid="{35396456-BAC3-402B-B084-47DAE82E0633}"/>
  <tableColumns count="9">
    <tableColumn id="1" xr3:uid="{04DE835C-03CE-4C7B-A2B7-8B9C7DE8A40F}" uniqueName="1" name="Tarih" queryTableFieldId="1" dataDxfId="79"/>
    <tableColumn id="2" xr3:uid="{74B79B28-27D9-42ED-9EB0-C871AAD8E5F5}" uniqueName="2" name="Paylaşım" queryTableFieldId="2" dataDxfId="78"/>
    <tableColumn id="3" xr3:uid="{5D66647B-0A52-454C-B3AB-96C3CE33716E}" uniqueName="3" name="Eklenen yorum sayısı" queryTableFieldId="3" dataDxfId="77"/>
    <tableColumn id="4" xr3:uid="{8C7D7FDB-305E-406D-8D7C-6C66D636EC68}" uniqueName="4" name="Beğenenler" queryTableFieldId="4" dataDxfId="76"/>
    <tableColumn id="5" xr3:uid="{9A303F77-E733-4D8D-B536-9FC6CF8B5E2B}" uniqueName="5" name="Aboneler" queryTableFieldId="5" dataDxfId="75"/>
    <tableColumn id="6" xr3:uid="{A9A590ED-12FB-4810-813D-9E904BADF66D}" uniqueName="6" name="Görüntüleme" queryTableFieldId="6" dataDxfId="74" dataCellStyle="Virgül"/>
    <tableColumn id="7" xr3:uid="{E92C2588-4501-49AE-881A-2BBCEAE98991}" uniqueName="7" name="İzlenme süresi (saat)" queryTableFieldId="7" dataDxfId="73"/>
    <tableColumn id="8" xr3:uid="{D0524AE5-8C01-42AD-9D4F-19C79F9B08E7}" uniqueName="8" name="Ort. İzlenme (sn)" queryTableFieldId="8"/>
    <tableColumn id="9" xr3:uid="{4CDD7B51-0D60-4724-9469-EE886573A1FF}" uniqueName="9" name="Tahmini gelir (USD)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500EFC-AB5A-405B-89B9-C9A4242EF0A1}" name="Turler" displayName="Turler" ref="A1:C155" totalsRowShown="0">
  <autoFilter ref="A1:C155" xr:uid="{BB500EFC-AB5A-405B-89B9-C9A4242EF0A1}"/>
  <tableColumns count="3">
    <tableColumn id="1" xr3:uid="{51172AC1-2465-45BB-8E33-EF38CFD24547}" name="Video-ID"/>
    <tableColumn id="2" xr3:uid="{A8C6FABF-E378-4147-A563-913E3488E538}" name="Video başlığı"/>
    <tableColumn id="3" xr3:uid="{C88BE87E-EB90-4C67-AD49-133B7AAFF725}" name="Tü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686191-0891-496E-A782-AA8D18A43820}" name="Konum_Verileri" displayName="Konum_Verileri" ref="A1:D201" tableType="queryTable" totalsRowShown="0">
  <autoFilter ref="A1:D201" xr:uid="{6B686191-0891-496E-A782-AA8D18A43820}"/>
  <tableColumns count="4">
    <tableColumn id="1" xr3:uid="{253B9FE2-6D4E-4341-BD69-05F291289295}" uniqueName="1" name="Konum" queryTableFieldId="1" dataDxfId="93"/>
    <tableColumn id="2" xr3:uid="{B8F59941-C5A4-44AA-B3C9-7E4ABC43892C}" uniqueName="2" name="Görüntüleme" queryTableFieldId="2" dataDxfId="72" dataCellStyle="Virgül"/>
    <tableColumn id="3" xr3:uid="{47A8D8D6-F6A1-4562-AD65-2EF897121246}" uniqueName="3" name="İzlenme süresi (saat)" queryTableFieldId="3" dataDxfId="71" dataCellStyle="Virgül"/>
    <tableColumn id="5" xr3:uid="{4E1A27C9-7D7A-482C-8E0C-6195D1138324}" uniqueName="5" name="Ort. İzlenme (sn)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C7395B-7254-4388-992C-67A9BFE2600E}" name="Trafik_Kaynagi" displayName="Trafik_Kaynagi" ref="A1:F16" tableType="queryTable" totalsRowShown="0">
  <autoFilter ref="A1:F16" xr:uid="{44C7395B-7254-4388-992C-67A9BFE2600E}"/>
  <tableColumns count="6">
    <tableColumn id="1" xr3:uid="{169C221F-C44E-4C53-A1F9-FA83574A5668}" uniqueName="1" name="Trafik kaynağı" queryTableFieldId="1" dataDxfId="92"/>
    <tableColumn id="2" xr3:uid="{2EE728FF-34E7-4DF5-A9B4-8955E33A7F7B}" uniqueName="2" name="Görüntüleme" queryTableFieldId="2" dataDxfId="70" dataCellStyle="Virgül"/>
    <tableColumn id="3" xr3:uid="{192D3876-0B28-4376-9C6F-387D48688BAB}" uniqueName="3" name="İzlenme süresi (saat)" queryTableFieldId="3" dataDxfId="69" dataCellStyle="Virgül"/>
    <tableColumn id="7" xr3:uid="{47F59EF6-D04A-4F13-BF52-9B93C6E97ECF}" uniqueName="7" name="Ort. İzlenme (sn)" queryTableFieldId="7" dataCellStyle="Virgül"/>
    <tableColumn id="5" xr3:uid="{0F270695-D38F-48D5-A52D-00149E166B98}" uniqueName="5" name="Küçük resim gösterimleri" queryTableFieldId="5" dataDxfId="68" dataCellStyle="Virgül"/>
    <tableColumn id="6" xr3:uid="{B045A316-7708-45BC-999B-98293AF94427}" uniqueName="6" name="Küçük resim tıklama oranı (%)" queryTableFieldId="6" dataDxfId="67" dataCellStyle="Yüzd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YerelZamanÇizelgesi_Videonun_yayınlanma_tarihi" xr10:uid="{FB7587AA-5A69-4FA5-AE79-A5877462F3D7}" sourceName="Videonun yayınlanma tarihi">
  <pivotTables>
    <pivotTable tabId="8" name="PvtTur"/>
    <pivotTable tabId="8" name="PvtVideo"/>
  </pivotTables>
  <state minimalRefreshVersion="6" lastRefreshVersion="6" pivotCacheId="519118694" filterType="dateBetween">
    <selection startDate="2025-01-01T00:00:00" endDate="2026-04-30T00:00:00"/>
    <bounds startDate="2025-01-01T00:00:00" endDate="2027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YerelZamanÇizelgesi_Tarih" xr10:uid="{91C8382D-6E85-405A-BF02-BE70648478B9}" sourceName="Tarih">
  <pivotTables>
    <pivotTable tabId="8" name="PvtTrend"/>
  </pivotTables>
  <state minimalRefreshVersion="6" lastRefreshVersion="6" pivotCacheId="77364175" filterType="unknown">
    <bounds startDate="2025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Videonun yayınlanma tarihi" xr10:uid="{A42C702D-9DC1-433B-9C4E-EFCF2C46F45C}" cache="YerelZamanÇizelgesi_Videonun_yayınlanma_tarihi" caption="Videonun yayınlanma tarihi" level="2" selectionLevel="2" scrollPosition="2025-01-01T00:00:00" style="TimeSlicerStyleLight3"/>
  <timeline name="Tarih" xr10:uid="{5BFEA04A-F204-442E-AF5A-F79AB2E2FFF4}" cache="YerelZamanÇizelgesi_Tarih" caption="İzlenme tarihi (kanal trendi)" level="2" selectionLevel="2" scrollPosition="2025-02-01T00:00:00" style="TimeSlicerStyleLight3"/>
</timeline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650E-92A9-49D5-B5F5-A8FCB560C8D7}">
  <dimension ref="A1:J20"/>
  <sheetViews>
    <sheetView showGridLines="0" showRowColHeaders="0" workbookViewId="0">
      <selection activeCell="I34" sqref="I34"/>
    </sheetView>
  </sheetViews>
  <sheetFormatPr defaultRowHeight="15"/>
  <cols>
    <col min="1" max="1" width="16.7109375" customWidth="1"/>
    <col min="2" max="10" width="15.7109375" customWidth="1"/>
  </cols>
  <sheetData>
    <row r="1" spans="1:10" ht="17.25">
      <c r="A1" s="28" t="s">
        <v>738</v>
      </c>
    </row>
    <row r="3" spans="1:10" ht="17.25">
      <c r="A3" s="28" t="s">
        <v>739</v>
      </c>
    </row>
    <row r="4" spans="1:10" ht="30">
      <c r="A4" s="27" t="s">
        <v>536</v>
      </c>
      <c r="B4" s="27" t="s">
        <v>740</v>
      </c>
      <c r="C4" s="27" t="s">
        <v>741</v>
      </c>
      <c r="D4" s="27" t="s">
        <v>742</v>
      </c>
      <c r="E4" s="27" t="s">
        <v>743</v>
      </c>
      <c r="F4" s="27" t="s">
        <v>744</v>
      </c>
      <c r="G4" s="27" t="s">
        <v>745</v>
      </c>
      <c r="H4" s="27" t="s">
        <v>746</v>
      </c>
    </row>
    <row r="5" spans="1:10">
      <c r="A5" t="s">
        <v>539</v>
      </c>
      <c r="B5">
        <f>COUNTIF(İçerik[Tür],$A5)</f>
        <v>13</v>
      </c>
      <c r="C5" s="5" cm="1">
        <f t="array" ref="C5">MEDIAN(_xlfn._xlws.FILTER(İçerik[Görüntüleme],İçerik[Tür]=$A5))</f>
        <v>5115</v>
      </c>
      <c r="D5" s="5">
        <f>AVERAGEIF(İçerik[Tür],$A5,İçerik[Görüntüleme])</f>
        <v>10857.153846153846</v>
      </c>
      <c r="E5">
        <f>COUNTIFS(İçerik[Tür],$A5,İçerik[Görüntüleme],"&gt;=100000")</f>
        <v>0</v>
      </c>
      <c r="F5" s="23">
        <f>E5/B5</f>
        <v>0</v>
      </c>
      <c r="G5" s="23" cm="1">
        <f t="array" ref="G5">SUMPRODUCT((İçerik[Tür]=$A5)*İçerik[Ortalama görüntüleme yüzdesi (%)]*İçerik[Görüntüleme])/SUMIF(İçerik[Tür],$A5,İçerik[Görüntüleme])</f>
        <v>0.76249040618379949</v>
      </c>
      <c r="H5" s="23">
        <f>(SUMIF(İçerik[Tür],$A5,İçerik[Beğenenler])+SUMIF(İçerik[Tür],$A5,İçerik[Eklenen yorum sayısı])+SUMIF(İçerik[Tür],$A5,İçerik[Paylaşım]))/SUMIF(İçerik[Tür],$A5,İçerik[Görüntüleme])</f>
        <v>2.6200378339698037E-2</v>
      </c>
    </row>
    <row r="6" spans="1:10">
      <c r="A6" t="s">
        <v>538</v>
      </c>
      <c r="B6">
        <f>COUNTIF(İçerik[Tür],$A6)</f>
        <v>9</v>
      </c>
      <c r="C6" s="5" cm="1">
        <f t="array" ref="C6">MEDIAN(_xlfn._xlws.FILTER(İçerik[Görüntüleme],İçerik[Tür]=$A6))</f>
        <v>3799</v>
      </c>
      <c r="D6" s="5">
        <f>AVERAGEIF(İçerik[Tür],$A6,İçerik[Görüntüleme])</f>
        <v>8779.7777777777774</v>
      </c>
      <c r="E6">
        <f>COUNTIFS(İçerik[Tür],$A6,İçerik[Görüntüleme],"&gt;=100000")</f>
        <v>0</v>
      </c>
      <c r="F6" s="23">
        <f t="shared" ref="F6:F9" si="0">E6/B6</f>
        <v>0</v>
      </c>
      <c r="G6" s="23" cm="1">
        <f t="array" ref="G6">SUMPRODUCT((İçerik[Tür]=$A6)*İçerik[Ortalama görüntüleme yüzdesi (%)]*İçerik[Görüntüleme])/SUMIF(İçerik[Tür],$A6,İçerik[Görüntüleme])</f>
        <v>0.84801791237439561</v>
      </c>
      <c r="H6" s="23">
        <f>(SUMIF(İçerik[Tür],$A6,İçerik[Beğenenler])+SUMIF(İçerik[Tür],$A6,İçerik[Eklenen yorum sayısı])+SUMIF(İçerik[Tür],$A6,İçerik[Paylaşım]))/SUMIF(İçerik[Tür],$A6,İçerik[Görüntüleme])</f>
        <v>3.8358348730668963E-2</v>
      </c>
    </row>
    <row r="7" spans="1:10">
      <c r="A7" t="s">
        <v>537</v>
      </c>
      <c r="B7">
        <f>COUNTIF(İçerik[Tür],$A7)</f>
        <v>55</v>
      </c>
      <c r="C7" s="5" cm="1">
        <f t="array" ref="C7">MEDIAN(_xlfn._xlws.FILTER(İçerik[Görüntüleme],İçerik[Tür]=$A7))</f>
        <v>26887</v>
      </c>
      <c r="D7" s="5">
        <f>AVERAGEIF(İçerik[Tür],$A7,İçerik[Görüntüleme])</f>
        <v>114307.6909090909</v>
      </c>
      <c r="E7">
        <f>COUNTIFS(İçerik[Tür],$A7,İçerik[Görüntüleme],"&gt;=100000")</f>
        <v>3</v>
      </c>
      <c r="F7" s="23">
        <f t="shared" si="0"/>
        <v>5.4545454545454543E-2</v>
      </c>
      <c r="G7" s="23" cm="1">
        <f t="array" ref="G7">SUMPRODUCT((İçerik[Tür]=$A7)*İçerik[Ortalama görüntüleme yüzdesi (%)]*İçerik[Görüntüleme])/SUMIF(İçerik[Tür],$A7,İçerik[Görüntüleme])</f>
        <v>0.88026158268520205</v>
      </c>
      <c r="H7" s="23">
        <f>(SUMIF(İçerik[Tür],$A7,İçerik[Beğenenler])+SUMIF(İçerik[Tür],$A7,İçerik[Eklenen yorum sayısı])+SUMIF(İçerik[Tür],$A7,İçerik[Paylaşım]))/SUMIF(İçerik[Tür],$A7,İçerik[Görüntüleme])</f>
        <v>2.1288792625581702E-2</v>
      </c>
    </row>
    <row r="8" spans="1:10">
      <c r="A8" t="s">
        <v>540</v>
      </c>
      <c r="B8">
        <f>COUNTIF(İçerik[Tür],$A8)</f>
        <v>35</v>
      </c>
      <c r="C8" s="5" cm="1">
        <f t="array" ref="C8">MEDIAN(_xlfn._xlws.FILTER(İçerik[Görüntüleme],İçerik[Tür]=$A8))</f>
        <v>33389</v>
      </c>
      <c r="D8" s="5">
        <f>AVERAGEIF(İçerik[Tür],$A8,İçerik[Görüntüleme])</f>
        <v>340026.51428571431</v>
      </c>
      <c r="E8">
        <f>COUNTIFS(İçerik[Tür],$A8,İçerik[Görüntüleme],"&gt;=100000")</f>
        <v>4</v>
      </c>
      <c r="F8" s="23">
        <f t="shared" si="0"/>
        <v>0.11428571428571428</v>
      </c>
      <c r="G8" s="23" cm="1">
        <f t="array" ref="G8">SUMPRODUCT((İçerik[Tür]=$A8)*İçerik[Ortalama görüntüleme yüzdesi (%)]*İçerik[Görüntüleme])/SUMIF(İçerik[Tür],$A8,İçerik[Görüntüleme])</f>
        <v>0.98290774187525509</v>
      </c>
      <c r="H8" s="23">
        <f>(SUMIF(İçerik[Tür],$A8,İçerik[Beğenenler])+SUMIF(İçerik[Tür],$A8,İçerik[Eklenen yorum sayısı])+SUMIF(İçerik[Tür],$A8,İçerik[Paylaşım]))/SUMIF(İçerik[Tür],$A8,İçerik[Görüntüleme])</f>
        <v>1.4834557439554294E-2</v>
      </c>
    </row>
    <row r="9" spans="1:10">
      <c r="A9" t="s">
        <v>541</v>
      </c>
      <c r="B9">
        <f>COUNTIF(İçerik[Tür],$A9)</f>
        <v>42</v>
      </c>
      <c r="C9" s="5" cm="1">
        <f t="array" ref="C9">MEDIAN(_xlfn._xlws.FILTER(İçerik[Görüntüleme],İçerik[Tür]=$A9))</f>
        <v>33330.5</v>
      </c>
      <c r="D9" s="5">
        <f>AVERAGEIF(İçerik[Tür],$A9,İçerik[Görüntüleme])</f>
        <v>410472.69047619047</v>
      </c>
      <c r="E9">
        <f>COUNTIFS(İçerik[Tür],$A9,İçerik[Görüntüleme],"&gt;=100000")</f>
        <v>8</v>
      </c>
      <c r="F9" s="23">
        <f t="shared" si="0"/>
        <v>0.19047619047619047</v>
      </c>
      <c r="G9" s="23" cm="1">
        <f t="array" ref="G9">SUMPRODUCT((İçerik[Tür]=$A9)*İçerik[Ortalama görüntüleme yüzdesi (%)]*İçerik[Görüntüleme])/SUMIF(İçerik[Tür],$A9,İçerik[Görüntüleme])</f>
        <v>0.93576916846680791</v>
      </c>
      <c r="H9" s="23">
        <f>(SUMIF(İçerik[Tür],$A9,İçerik[Beğenenler])+SUMIF(İçerik[Tür],$A9,İçerik[Eklenen yorum sayısı])+SUMIF(İçerik[Tür],$A9,İçerik[Paylaşım]))/SUMIF(İçerik[Tür],$A9,İçerik[Görüntüleme])</f>
        <v>8.8679410433488027E-3</v>
      </c>
    </row>
    <row r="10" spans="1:10">
      <c r="A10" t="s">
        <v>747</v>
      </c>
      <c r="B10">
        <f>ROWS(İçerik[Tür])</f>
        <v>154</v>
      </c>
      <c r="C10" s="5">
        <f>MEDIAN(İçerik[Görüntüleme])</f>
        <v>29295.5</v>
      </c>
      <c r="D10" s="5">
        <f>AVERAGE(İçerik[Görüntüleme])</f>
        <v>231479.64285714287</v>
      </c>
      <c r="E10">
        <f>COUNTIF(İçerik[Görüntüleme],"&gt;=100000")</f>
        <v>15</v>
      </c>
      <c r="F10" s="23">
        <f>E10/B10</f>
        <v>9.7402597402597407E-2</v>
      </c>
      <c r="G10" s="23">
        <f>SUMPRODUCT(İçerik[Ortalama görüntüleme yüzdesi (%)],İçerik[Görüntüleme])/SUM(İçerik[Görüntüleme])</f>
        <v>0.94083622752723062</v>
      </c>
      <c r="H10" s="23">
        <f>(SUM(İçerik[Beğenenler])+SUM(İçerik[Eklenen yorum sayısı])+SUM(İçerik[Paylaşım]))/SUM(İçerik[Görüntüleme])</f>
        <v>1.3184436150664282E-2</v>
      </c>
    </row>
    <row r="12" spans="1:10" ht="17.25">
      <c r="A12" s="28" t="s">
        <v>748</v>
      </c>
    </row>
    <row r="13" spans="1:10" ht="30">
      <c r="A13" s="27" t="s">
        <v>749</v>
      </c>
      <c r="B13" s="27" t="s">
        <v>561</v>
      </c>
      <c r="C13" s="27" t="s">
        <v>539</v>
      </c>
      <c r="D13" s="27" t="s">
        <v>538</v>
      </c>
      <c r="E13" s="27" t="s">
        <v>537</v>
      </c>
      <c r="F13" s="27" t="s">
        <v>540</v>
      </c>
      <c r="G13" s="27" t="s">
        <v>541</v>
      </c>
      <c r="H13" s="27" t="s">
        <v>741</v>
      </c>
      <c r="I13" s="27" t="s">
        <v>743</v>
      </c>
      <c r="J13" s="27" t="s">
        <v>750</v>
      </c>
    </row>
    <row r="14" spans="1:10">
      <c r="A14" s="24">
        <v>45839</v>
      </c>
      <c r="B14">
        <f>COUNTIFS(İçerik[Videonun yayınlanma tarihi],"&gt;="&amp;$A14,İçerik[Videonun yayınlanma tarihi],"&lt;="&amp;EOMONTH($A14,0))</f>
        <v>9</v>
      </c>
      <c r="C14">
        <f>COUNTIFS(İçerik[Tür],C$13,İçerik[Videonun yayınlanma tarihi],"&gt;="&amp;$A14,İçerik[Videonun yayınlanma tarihi],"&lt;="&amp;EOMONTH($A14,0))</f>
        <v>3</v>
      </c>
      <c r="D14">
        <f>COUNTIFS(İçerik[Tür],D$13,İçerik[Videonun yayınlanma tarihi],"&gt;="&amp;$A14,İçerik[Videonun yayınlanma tarihi],"&lt;="&amp;EOMONTH($A14,0))</f>
        <v>3</v>
      </c>
      <c r="E14">
        <f>COUNTIFS(İçerik[Tür],E$13,İçerik[Videonun yayınlanma tarihi],"&gt;="&amp;$A14,İçerik[Videonun yayınlanma tarihi],"&lt;="&amp;EOMONTH($A14,0))</f>
        <v>3</v>
      </c>
      <c r="F14">
        <f>COUNTIFS(İçerik[Tür],F$13,İçerik[Videonun yayınlanma tarihi],"&gt;="&amp;$A14,İçerik[Videonun yayınlanma tarihi],"&lt;="&amp;EOMONTH($A14,0))</f>
        <v>0</v>
      </c>
      <c r="G14">
        <f>COUNTIFS(İçerik[Tür],G$13,İçerik[Videonun yayınlanma tarihi],"&gt;="&amp;$A14,İçerik[Videonun yayınlanma tarihi],"&lt;="&amp;EOMONTH($A14,0))</f>
        <v>0</v>
      </c>
      <c r="H14" s="5" cm="1">
        <f t="array" ref="H14">MEDIAN(_xlfn._xlws.FILTER(İçerik[Görüntüleme],(İçerik[Videonun yayınlanma tarihi]&gt;=$A14)*(İçerik[Videonun yayınlanma tarihi]&lt;=EOMONTH($A14,0))))</f>
        <v>1713</v>
      </c>
      <c r="I14">
        <f>COUNTIFS(İçerik[Görüntüleme],"&gt;=100000",İçerik[Videonun yayınlanma tarihi],"&gt;="&amp;$A14,İçerik[Videonun yayınlanma tarihi],"&lt;="&amp;EOMONTH($A14,0))</f>
        <v>0</v>
      </c>
      <c r="J14" s="5">
        <f>SUMIFS(İçerik[Görüntüleme],İçerik[Videonun yayınlanma tarihi],"&gt;="&amp;$A14,İçerik[Videonun yayınlanma tarihi],"&lt;="&amp;EOMONTH($A14,0))</f>
        <v>15744</v>
      </c>
    </row>
    <row r="15" spans="1:10">
      <c r="A15" s="24">
        <v>45870</v>
      </c>
      <c r="B15">
        <f>COUNTIFS(İçerik[Videonun yayınlanma tarihi],"&gt;="&amp;$A15,İçerik[Videonun yayınlanma tarihi],"&lt;="&amp;EOMONTH($A15,0))</f>
        <v>20</v>
      </c>
      <c r="C15">
        <f>COUNTIFS(İçerik[Tür],C$13,İçerik[Videonun yayınlanma tarihi],"&gt;="&amp;$A15,İçerik[Videonun yayınlanma tarihi],"&lt;="&amp;EOMONTH($A15,0))</f>
        <v>2</v>
      </c>
      <c r="D15">
        <f>COUNTIFS(İçerik[Tür],D$13,İçerik[Videonun yayınlanma tarihi],"&gt;="&amp;$A15,İçerik[Videonun yayınlanma tarihi],"&lt;="&amp;EOMONTH($A15,0))</f>
        <v>2</v>
      </c>
      <c r="E15">
        <f>COUNTIFS(İçerik[Tür],E$13,İçerik[Videonun yayınlanma tarihi],"&gt;="&amp;$A15,İçerik[Videonun yayınlanma tarihi],"&lt;="&amp;EOMONTH($A15,0))</f>
        <v>1</v>
      </c>
      <c r="F15">
        <f>COUNTIFS(İçerik[Tür],F$13,İçerik[Videonun yayınlanma tarihi],"&gt;="&amp;$A15,İçerik[Videonun yayınlanma tarihi],"&lt;="&amp;EOMONTH($A15,0))</f>
        <v>15</v>
      </c>
      <c r="G15">
        <f>COUNTIFS(İçerik[Tür],G$13,İçerik[Videonun yayınlanma tarihi],"&gt;="&amp;$A15,İçerik[Videonun yayınlanma tarihi],"&lt;="&amp;EOMONTH($A15,0))</f>
        <v>0</v>
      </c>
      <c r="H15" s="5" cm="1">
        <f t="array" ref="H15">MEDIAN(_xlfn._xlws.FILTER(İçerik[Görüntüleme],(İçerik[Videonun yayınlanma tarihi]&gt;=$A15)*(İçerik[Videonun yayınlanma tarihi]&lt;=EOMONTH($A15,0))))</f>
        <v>34384.5</v>
      </c>
      <c r="I15">
        <f>COUNTIFS(İçerik[Görüntüleme],"&gt;=100000",İçerik[Videonun yayınlanma tarihi],"&gt;="&amp;$A15,İçerik[Videonun yayınlanma tarihi],"&lt;="&amp;EOMONTH($A15,0))</f>
        <v>2</v>
      </c>
      <c r="J15" s="5">
        <f>SUMIFS(İçerik[Görüntüleme],İçerik[Videonun yayınlanma tarihi],"&gt;="&amp;$A15,İçerik[Videonun yayınlanma tarihi],"&lt;="&amp;EOMONTH($A15,0))</f>
        <v>10274326</v>
      </c>
    </row>
    <row r="16" spans="1:10">
      <c r="A16" s="24">
        <v>45901</v>
      </c>
      <c r="B16">
        <f>COUNTIFS(İçerik[Videonun yayınlanma tarihi],"&gt;="&amp;$A16,İçerik[Videonun yayınlanma tarihi],"&lt;="&amp;EOMONTH($A16,0))</f>
        <v>27</v>
      </c>
      <c r="C16">
        <f>COUNTIFS(İçerik[Tür],C$13,İçerik[Videonun yayınlanma tarihi],"&gt;="&amp;$A16,İçerik[Videonun yayınlanma tarihi],"&lt;="&amp;EOMONTH($A16,0))</f>
        <v>7</v>
      </c>
      <c r="D16">
        <f>COUNTIFS(İçerik[Tür],D$13,İçerik[Videonun yayınlanma tarihi],"&gt;="&amp;$A16,İçerik[Videonun yayınlanma tarihi],"&lt;="&amp;EOMONTH($A16,0))</f>
        <v>4</v>
      </c>
      <c r="E16">
        <f>COUNTIFS(İçerik[Tür],E$13,İçerik[Videonun yayınlanma tarihi],"&gt;="&amp;$A16,İçerik[Videonun yayınlanma tarihi],"&lt;="&amp;EOMONTH($A16,0))</f>
        <v>0</v>
      </c>
      <c r="F16">
        <f>COUNTIFS(İçerik[Tür],F$13,İçerik[Videonun yayınlanma tarihi],"&gt;="&amp;$A16,İçerik[Videonun yayınlanma tarihi],"&lt;="&amp;EOMONTH($A16,0))</f>
        <v>15</v>
      </c>
      <c r="G16">
        <f>COUNTIFS(İçerik[Tür],G$13,İçerik[Videonun yayınlanma tarihi],"&gt;="&amp;$A16,İçerik[Videonun yayınlanma tarihi],"&lt;="&amp;EOMONTH($A16,0))</f>
        <v>1</v>
      </c>
      <c r="H16" s="5" cm="1">
        <f t="array" ref="H16">MEDIAN(_xlfn._xlws.FILTER(İçerik[Görüntüleme],(İçerik[Videonun yayınlanma tarihi]&gt;=$A16)*(İçerik[Videonun yayınlanma tarihi]&lt;=EOMONTH($A16,0))))</f>
        <v>24822</v>
      </c>
      <c r="I16">
        <f>COUNTIFS(İçerik[Görüntüleme],"&gt;=100000",İçerik[Videonun yayınlanma tarihi],"&gt;="&amp;$A16,İçerik[Videonun yayınlanma tarihi],"&lt;="&amp;EOMONTH($A16,0))</f>
        <v>1</v>
      </c>
      <c r="J16" s="5">
        <f>SUMIFS(İçerik[Görüntüleme],İçerik[Videonun yayınlanma tarihi],"&gt;="&amp;$A16,İçerik[Videonun yayınlanma tarihi],"&lt;="&amp;EOMONTH($A16,0))</f>
        <v>710183</v>
      </c>
    </row>
    <row r="17" spans="1:10">
      <c r="A17" s="24">
        <v>45931</v>
      </c>
      <c r="B17">
        <f>COUNTIFS(İçerik[Videonun yayınlanma tarihi],"&gt;="&amp;$A17,İçerik[Videonun yayınlanma tarihi],"&lt;="&amp;EOMONTH($A17,0))</f>
        <v>21</v>
      </c>
      <c r="C17">
        <f>COUNTIFS(İçerik[Tür],C$13,İçerik[Videonun yayınlanma tarihi],"&gt;="&amp;$A17,İçerik[Videonun yayınlanma tarihi],"&lt;="&amp;EOMONTH($A17,0))</f>
        <v>1</v>
      </c>
      <c r="D17">
        <f>COUNTIFS(İçerik[Tür],D$13,İçerik[Videonun yayınlanma tarihi],"&gt;="&amp;$A17,İçerik[Videonun yayınlanma tarihi],"&lt;="&amp;EOMONTH($A17,0))</f>
        <v>0</v>
      </c>
      <c r="E17">
        <f>COUNTIFS(İçerik[Tür],E$13,İçerik[Videonun yayınlanma tarihi],"&gt;="&amp;$A17,İçerik[Videonun yayınlanma tarihi],"&lt;="&amp;EOMONTH($A17,0))</f>
        <v>0</v>
      </c>
      <c r="F17">
        <f>COUNTIFS(İçerik[Tür],F$13,İçerik[Videonun yayınlanma tarihi],"&gt;="&amp;$A17,İçerik[Videonun yayınlanma tarihi],"&lt;="&amp;EOMONTH($A17,0))</f>
        <v>5</v>
      </c>
      <c r="G17">
        <f>COUNTIFS(İçerik[Tür],G$13,İçerik[Videonun yayınlanma tarihi],"&gt;="&amp;$A17,İçerik[Videonun yayınlanma tarihi],"&lt;="&amp;EOMONTH($A17,0))</f>
        <v>15</v>
      </c>
      <c r="H17" s="5" cm="1">
        <f t="array" ref="H17">MEDIAN(_xlfn._xlws.FILTER(İçerik[Görüntüleme],(İçerik[Videonun yayınlanma tarihi]&gt;=$A17)*(İçerik[Videonun yayınlanma tarihi]&lt;=EOMONTH($A17,0))))</f>
        <v>41189</v>
      </c>
      <c r="I17">
        <f>COUNTIFS(İçerik[Görüntüleme],"&gt;=100000",İçerik[Videonun yayınlanma tarihi],"&gt;="&amp;$A17,İçerik[Videonun yayınlanma tarihi],"&lt;="&amp;EOMONTH($A17,0))</f>
        <v>7</v>
      </c>
      <c r="J17" s="5">
        <f>SUMIFS(İçerik[Görüntüleme],İçerik[Videonun yayınlanma tarihi],"&gt;="&amp;$A17,İçerik[Videonun yayınlanma tarihi],"&lt;="&amp;EOMONTH($A17,0))</f>
        <v>16527103</v>
      </c>
    </row>
    <row r="18" spans="1:10">
      <c r="A18" s="24">
        <v>45962</v>
      </c>
      <c r="B18">
        <f>COUNTIFS(İçerik[Videonun yayınlanma tarihi],"&gt;="&amp;$A18,İçerik[Videonun yayınlanma tarihi],"&lt;="&amp;EOMONTH($A18,0))</f>
        <v>36</v>
      </c>
      <c r="C18">
        <f>COUNTIFS(İçerik[Tür],C$13,İçerik[Videonun yayınlanma tarihi],"&gt;="&amp;$A18,İçerik[Videonun yayınlanma tarihi],"&lt;="&amp;EOMONTH($A18,0))</f>
        <v>0</v>
      </c>
      <c r="D18">
        <f>COUNTIFS(İçerik[Tür],D$13,İçerik[Videonun yayınlanma tarihi],"&gt;="&amp;$A18,İçerik[Videonun yayınlanma tarihi],"&lt;="&amp;EOMONTH($A18,0))</f>
        <v>0</v>
      </c>
      <c r="E18">
        <f>COUNTIFS(İçerik[Tür],E$13,İçerik[Videonun yayınlanma tarihi],"&gt;="&amp;$A18,İçerik[Videonun yayınlanma tarihi],"&lt;="&amp;EOMONTH($A18,0))</f>
        <v>10</v>
      </c>
      <c r="F18">
        <f>COUNTIFS(İçerik[Tür],F$13,İçerik[Videonun yayınlanma tarihi],"&gt;="&amp;$A18,İçerik[Videonun yayınlanma tarihi],"&lt;="&amp;EOMONTH($A18,0))</f>
        <v>0</v>
      </c>
      <c r="G18">
        <f>COUNTIFS(İçerik[Tür],G$13,İçerik[Videonun yayınlanma tarihi],"&gt;="&amp;$A18,İçerik[Videonun yayınlanma tarihi],"&lt;="&amp;EOMONTH($A18,0))</f>
        <v>26</v>
      </c>
      <c r="H18" s="5" cm="1">
        <f t="array" ref="H18">MEDIAN(_xlfn._xlws.FILTER(İçerik[Görüntüleme],(İçerik[Videonun yayınlanma tarihi]&gt;=$A18)*(İçerik[Videonun yayınlanma tarihi]&lt;=EOMONTH($A18,0))))</f>
        <v>30020</v>
      </c>
      <c r="I18">
        <f>COUNTIFS(İçerik[Görüntüleme],"&gt;=100000",İçerik[Videonun yayınlanma tarihi],"&gt;="&amp;$A18,İçerik[Videonun yayınlanma tarihi],"&lt;="&amp;EOMONTH($A18,0))</f>
        <v>3</v>
      </c>
      <c r="J18" s="5">
        <f>SUMIFS(İçerik[Görüntüleme],İçerik[Videonun yayınlanma tarihi],"&gt;="&amp;$A18,İçerik[Videonun yayınlanma tarihi],"&lt;="&amp;EOMONTH($A18,0))</f>
        <v>6684834</v>
      </c>
    </row>
    <row r="19" spans="1:10">
      <c r="A19" s="24">
        <v>45992</v>
      </c>
      <c r="B19">
        <f>COUNTIFS(İçerik[Videonun yayınlanma tarihi],"&gt;="&amp;$A19,İçerik[Videonun yayınlanma tarihi],"&lt;="&amp;EOMONTH($A19,0))</f>
        <v>29</v>
      </c>
      <c r="C19">
        <f>COUNTIFS(İçerik[Tür],C$13,İçerik[Videonun yayınlanma tarihi],"&gt;="&amp;$A19,İçerik[Videonun yayınlanma tarihi],"&lt;="&amp;EOMONTH($A19,0))</f>
        <v>0</v>
      </c>
      <c r="D19">
        <f>COUNTIFS(İçerik[Tür],D$13,İçerik[Videonun yayınlanma tarihi],"&gt;="&amp;$A19,İçerik[Videonun yayınlanma tarihi],"&lt;="&amp;EOMONTH($A19,0))</f>
        <v>0</v>
      </c>
      <c r="E19">
        <f>COUNTIFS(İçerik[Tür],E$13,İçerik[Videonun yayınlanma tarihi],"&gt;="&amp;$A19,İçerik[Videonun yayınlanma tarihi],"&lt;="&amp;EOMONTH($A19,0))</f>
        <v>29</v>
      </c>
      <c r="F19">
        <f>COUNTIFS(İçerik[Tür],F$13,İçerik[Videonun yayınlanma tarihi],"&gt;="&amp;$A19,İçerik[Videonun yayınlanma tarihi],"&lt;="&amp;EOMONTH($A19,0))</f>
        <v>0</v>
      </c>
      <c r="G19">
        <f>COUNTIFS(İçerik[Tür],G$13,İçerik[Videonun yayınlanma tarihi],"&gt;="&amp;$A19,İçerik[Videonun yayınlanma tarihi],"&lt;="&amp;EOMONTH($A19,0))</f>
        <v>0</v>
      </c>
      <c r="H19" s="5" cm="1">
        <f t="array" ref="H19">MEDIAN(_xlfn._xlws.FILTER(İçerik[Görüntüleme],(İçerik[Videonun yayınlanma tarihi]&gt;=$A19)*(İçerik[Videonun yayınlanma tarihi]&lt;=EOMONTH($A19,0))))</f>
        <v>27232</v>
      </c>
      <c r="I19">
        <f>COUNTIFS(İçerik[Görüntüleme],"&gt;=100000",İçerik[Videonun yayınlanma tarihi],"&gt;="&amp;$A19,İçerik[Videonun yayınlanma tarihi],"&lt;="&amp;EOMONTH($A19,0))</f>
        <v>2</v>
      </c>
      <c r="J19" s="5">
        <f>SUMIFS(İçerik[Görüntüleme],İçerik[Videonun yayınlanma tarihi],"&gt;="&amp;$A19,İçerik[Videonun yayınlanma tarihi],"&lt;="&amp;EOMONTH($A19,0))</f>
        <v>1073190</v>
      </c>
    </row>
    <row r="20" spans="1:10">
      <c r="A20" s="24">
        <v>46023</v>
      </c>
      <c r="B20">
        <f>COUNTIFS(İçerik[Videonun yayınlanma tarihi],"&gt;="&amp;$A20,İçerik[Videonun yayınlanma tarihi],"&lt;="&amp;EOMONTH($A20,0))</f>
        <v>12</v>
      </c>
      <c r="C20">
        <f>COUNTIFS(İçerik[Tür],C$13,İçerik[Videonun yayınlanma tarihi],"&gt;="&amp;$A20,İçerik[Videonun yayınlanma tarihi],"&lt;="&amp;EOMONTH($A20,0))</f>
        <v>0</v>
      </c>
      <c r="D20">
        <f>COUNTIFS(İçerik[Tür],D$13,İçerik[Videonun yayınlanma tarihi],"&gt;="&amp;$A20,İçerik[Videonun yayınlanma tarihi],"&lt;="&amp;EOMONTH($A20,0))</f>
        <v>0</v>
      </c>
      <c r="E20">
        <f>COUNTIFS(İçerik[Tür],E$13,İçerik[Videonun yayınlanma tarihi],"&gt;="&amp;$A20,İçerik[Videonun yayınlanma tarihi],"&lt;="&amp;EOMONTH($A20,0))</f>
        <v>12</v>
      </c>
      <c r="F20">
        <f>COUNTIFS(İçerik[Tür],F$13,İçerik[Videonun yayınlanma tarihi],"&gt;="&amp;$A20,İçerik[Videonun yayınlanma tarihi],"&lt;="&amp;EOMONTH($A20,0))</f>
        <v>0</v>
      </c>
      <c r="G20">
        <f>COUNTIFS(İçerik[Tür],G$13,İçerik[Videonun yayınlanma tarihi],"&gt;="&amp;$A20,İçerik[Videonun yayınlanma tarihi],"&lt;="&amp;EOMONTH($A20,0))</f>
        <v>0</v>
      </c>
      <c r="H20" s="5" cm="1">
        <f t="array" ref="H20">MEDIAN(_xlfn._xlws.FILTER(İçerik[Görüntüleme],(İçerik[Videonun yayınlanma tarihi]&gt;=$A20)*(İçerik[Videonun yayınlanma tarihi]&lt;=EOMONTH($A20,0))))</f>
        <v>26487</v>
      </c>
      <c r="I20">
        <f>COUNTIFS(İçerik[Görüntüleme],"&gt;=100000",İçerik[Videonun yayınlanma tarihi],"&gt;="&amp;$A20,İçerik[Videonun yayınlanma tarihi],"&lt;="&amp;EOMONTH($A20,0))</f>
        <v>0</v>
      </c>
      <c r="J20" s="5">
        <f>SUMIFS(İçerik[Görüntüleme],İçerik[Videonun yayınlanma tarihi],"&gt;="&amp;$A20,İçerik[Videonun yayınlanma tarihi],"&lt;="&amp;EOMONTH($A20,0))</f>
        <v>362485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B3A9-4ABA-4BA7-A6F0-3781AD55D1C4}">
  <dimension ref="A20:Q65"/>
  <sheetViews>
    <sheetView showGridLines="0" showRowColHeaders="0" tabSelected="1" zoomScaleNormal="100" workbookViewId="0">
      <selection activeCell="B21" sqref="B21"/>
    </sheetView>
  </sheetViews>
  <sheetFormatPr defaultRowHeight="15"/>
  <cols>
    <col min="2" max="2" width="28.140625" customWidth="1"/>
  </cols>
  <sheetData>
    <row r="20" spans="1:3">
      <c r="A20" t="s">
        <v>559</v>
      </c>
      <c r="B20" s="21" t="s">
        <v>549</v>
      </c>
      <c r="C20" t="s">
        <v>752</v>
      </c>
    </row>
    <row r="61" spans="1:17">
      <c r="A61" s="25" t="s">
        <v>751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</row>
    <row r="62" spans="1:17">
      <c r="A62" s="26" t="s">
        <v>717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</row>
    <row r="63" spans="1:17">
      <c r="A63" s="26" t="s">
        <v>718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</row>
    <row r="64" spans="1:17">
      <c r="A64" s="26" t="s">
        <v>719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</row>
    <row r="65" spans="1:17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46AF7A-2C23-487A-AEB7-C4947501F228}">
          <x14:formula1>
            <xm:f>Analiz!$B$3:$L$3</xm:f>
          </x14:formula1>
          <xm:sqref>B20</xm:sqref>
        </x14:dataValidation>
      </x14:dataValidations>
    </ex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5F1D-E25B-45E5-9026-CBA9F5690644}">
  <dimension ref="A1:AH158"/>
  <sheetViews>
    <sheetView topLeftCell="I1" zoomScale="70" zoomScaleNormal="70" workbookViewId="0">
      <selection activeCell="AF1" sqref="AF1"/>
    </sheetView>
  </sheetViews>
  <sheetFormatPr defaultRowHeight="15"/>
  <cols>
    <col min="1" max="1" width="13.5703125" bestFit="1" customWidth="1"/>
    <col min="2" max="2" width="11.85546875" bestFit="1" customWidth="1"/>
    <col min="3" max="3" width="13.5703125" bestFit="1" customWidth="1"/>
    <col min="4" max="4" width="9.140625" bestFit="1" customWidth="1"/>
    <col min="5" max="5" width="14.140625" style="15" bestFit="1" customWidth="1"/>
    <col min="6" max="6" width="6.85546875" bestFit="1" customWidth="1"/>
    <col min="7" max="7" width="13.85546875" bestFit="1" customWidth="1"/>
    <col min="8" max="8" width="25.7109375" bestFit="1" customWidth="1"/>
    <col min="9" max="9" width="9.28515625" bestFit="1" customWidth="1"/>
    <col min="10" max="10" width="7.140625" bestFit="1" customWidth="1"/>
    <col min="11" max="11" width="16.7109375" bestFit="1" customWidth="1"/>
    <col min="12" max="12" width="12.42578125" bestFit="1" customWidth="1"/>
    <col min="14" max="14" width="43" bestFit="1" customWidth="1"/>
    <col min="15" max="15" width="20.28515625" bestFit="1" customWidth="1"/>
    <col min="18" max="18" width="64.7109375" bestFit="1" customWidth="1"/>
    <col min="19" max="19" width="11.85546875" bestFit="1" customWidth="1"/>
    <col min="20" max="20" width="13.5703125" bestFit="1" customWidth="1"/>
    <col min="21" max="21" width="9.140625" bestFit="1" customWidth="1"/>
    <col min="22" max="22" width="14.140625" bestFit="1" customWidth="1"/>
    <col min="23" max="23" width="6.85546875" bestFit="1" customWidth="1"/>
    <col min="24" max="24" width="13.85546875" bestFit="1" customWidth="1"/>
    <col min="25" max="25" width="25.7109375" bestFit="1" customWidth="1"/>
    <col min="26" max="26" width="9.28515625" bestFit="1" customWidth="1"/>
    <col min="27" max="27" width="7.140625" bestFit="1" customWidth="1"/>
    <col min="28" max="28" width="16.7109375" bestFit="1" customWidth="1"/>
    <col min="29" max="29" width="12.42578125" bestFit="1" customWidth="1"/>
    <col min="32" max="32" width="16.7109375" bestFit="1" customWidth="1"/>
    <col min="33" max="33" width="20.28515625" bestFit="1" customWidth="1"/>
    <col min="34" max="34" width="16.28515625" bestFit="1" customWidth="1"/>
  </cols>
  <sheetData>
    <row r="1" spans="1:34">
      <c r="A1" t="s">
        <v>734</v>
      </c>
      <c r="R1" t="s">
        <v>735</v>
      </c>
      <c r="AF1" t="s">
        <v>736</v>
      </c>
    </row>
    <row r="3" spans="1:34">
      <c r="A3" s="12" t="s">
        <v>557</v>
      </c>
      <c r="B3" t="s">
        <v>548</v>
      </c>
      <c r="C3" t="s">
        <v>549</v>
      </c>
      <c r="D3" t="s">
        <v>227</v>
      </c>
      <c r="E3" s="15" t="s">
        <v>550</v>
      </c>
      <c r="F3" t="s">
        <v>551</v>
      </c>
      <c r="G3" t="s">
        <v>552</v>
      </c>
      <c r="H3" t="s">
        <v>558</v>
      </c>
      <c r="I3" t="s">
        <v>553</v>
      </c>
      <c r="J3" t="s">
        <v>554</v>
      </c>
      <c r="K3" s="16" t="s">
        <v>555</v>
      </c>
      <c r="L3" t="s">
        <v>556</v>
      </c>
      <c r="R3" s="12" t="s">
        <v>561</v>
      </c>
      <c r="S3" t="s">
        <v>548</v>
      </c>
      <c r="T3" t="s">
        <v>549</v>
      </c>
      <c r="U3" t="s">
        <v>227</v>
      </c>
      <c r="V3" s="15" t="s">
        <v>550</v>
      </c>
      <c r="W3" t="s">
        <v>551</v>
      </c>
      <c r="X3" t="s">
        <v>552</v>
      </c>
      <c r="Y3" t="s">
        <v>558</v>
      </c>
      <c r="Z3" t="s">
        <v>553</v>
      </c>
      <c r="AA3" t="s">
        <v>554</v>
      </c>
      <c r="AB3" s="16" t="s">
        <v>555</v>
      </c>
      <c r="AC3" t="s">
        <v>556</v>
      </c>
      <c r="AF3" s="12" t="s">
        <v>542</v>
      </c>
      <c r="AG3" t="s">
        <v>544</v>
      </c>
      <c r="AH3" t="s">
        <v>546</v>
      </c>
    </row>
    <row r="4" spans="1:34">
      <c r="A4" t="s">
        <v>539</v>
      </c>
      <c r="B4" s="18">
        <v>13</v>
      </c>
      <c r="C4" s="14">
        <v>141143</v>
      </c>
      <c r="D4" s="5">
        <v>97</v>
      </c>
      <c r="E4" s="15">
        <v>0.76249040618379949</v>
      </c>
      <c r="F4" s="5">
        <v>47</v>
      </c>
      <c r="G4" s="7">
        <v>569.11030000000005</v>
      </c>
      <c r="H4" s="17">
        <v>10857.153846153846</v>
      </c>
      <c r="I4" s="14">
        <v>3554</v>
      </c>
      <c r="J4" s="5">
        <v>233</v>
      </c>
      <c r="K4" s="9">
        <v>2.6200378339698037E-2</v>
      </c>
      <c r="L4" s="7">
        <v>1.6508080457408445</v>
      </c>
      <c r="R4" t="s">
        <v>656</v>
      </c>
      <c r="S4" s="18">
        <v>1</v>
      </c>
      <c r="T4" s="14">
        <v>42227</v>
      </c>
      <c r="U4" s="5">
        <v>5</v>
      </c>
      <c r="V4" s="15">
        <v>1.0185999999999999</v>
      </c>
      <c r="W4" s="5">
        <v>4</v>
      </c>
      <c r="X4" s="7">
        <v>116.87520000000001</v>
      </c>
      <c r="Y4" s="17">
        <v>42227</v>
      </c>
      <c r="Z4" s="14">
        <v>426</v>
      </c>
      <c r="AA4" s="5">
        <v>27</v>
      </c>
      <c r="AB4" s="9">
        <v>1.030146588675492E-2</v>
      </c>
      <c r="AC4" s="7">
        <v>0.63940133090202944</v>
      </c>
      <c r="AF4" s="13" t="s">
        <v>720</v>
      </c>
      <c r="AG4" s="14">
        <v>35067300</v>
      </c>
      <c r="AH4" s="5">
        <v>32486</v>
      </c>
    </row>
    <row r="5" spans="1:34">
      <c r="A5" t="s">
        <v>538</v>
      </c>
      <c r="B5" s="18">
        <v>9</v>
      </c>
      <c r="C5" s="14">
        <v>79018</v>
      </c>
      <c r="D5" s="5">
        <v>129</v>
      </c>
      <c r="E5" s="15">
        <v>0.84801791237439561</v>
      </c>
      <c r="F5" s="5">
        <v>74</v>
      </c>
      <c r="G5" s="7">
        <v>210.74189999999999</v>
      </c>
      <c r="H5" s="17">
        <v>8779.7777777777774</v>
      </c>
      <c r="I5" s="14">
        <v>2828</v>
      </c>
      <c r="J5" s="5">
        <v>273</v>
      </c>
      <c r="K5" s="9">
        <v>3.8358348730668963E-2</v>
      </c>
      <c r="L5" s="7">
        <v>3.4549090080741101</v>
      </c>
      <c r="R5" t="s">
        <v>701</v>
      </c>
      <c r="S5" s="18">
        <v>1</v>
      </c>
      <c r="T5" s="14">
        <v>18904</v>
      </c>
      <c r="U5" s="5">
        <v>0</v>
      </c>
      <c r="V5" s="15">
        <v>0.86499999999999999</v>
      </c>
      <c r="W5" s="5">
        <v>0</v>
      </c>
      <c r="X5" s="7">
        <v>56.851700000000001</v>
      </c>
      <c r="Y5" s="17">
        <v>18904</v>
      </c>
      <c r="Z5" s="14">
        <v>254</v>
      </c>
      <c r="AA5" s="5">
        <v>6</v>
      </c>
      <c r="AB5" s="9">
        <v>1.3436309775708845E-2</v>
      </c>
      <c r="AC5" s="7">
        <v>0.31739314430808296</v>
      </c>
      <c r="AF5" s="22" t="s">
        <v>722</v>
      </c>
      <c r="AG5" s="14">
        <v>692</v>
      </c>
      <c r="AH5" s="5">
        <v>7</v>
      </c>
    </row>
    <row r="6" spans="1:34">
      <c r="A6" t="s">
        <v>537</v>
      </c>
      <c r="B6" s="18">
        <v>55</v>
      </c>
      <c r="C6" s="14">
        <v>6286923</v>
      </c>
      <c r="D6" s="5">
        <v>3121</v>
      </c>
      <c r="E6" s="15">
        <v>0.88026158268520205</v>
      </c>
      <c r="F6" s="5">
        <v>303</v>
      </c>
      <c r="G6" s="7">
        <v>20075.411900000003</v>
      </c>
      <c r="H6" s="17">
        <v>114307.6909090909</v>
      </c>
      <c r="I6" s="14">
        <v>130417</v>
      </c>
      <c r="J6" s="5">
        <v>3587</v>
      </c>
      <c r="K6" s="9">
        <v>2.1288792625581702E-2</v>
      </c>
      <c r="L6" s="7">
        <v>0.57054937685732754</v>
      </c>
      <c r="R6" t="s">
        <v>705</v>
      </c>
      <c r="S6" s="18">
        <v>1</v>
      </c>
      <c r="T6" s="14">
        <v>5586</v>
      </c>
      <c r="U6" s="5">
        <v>1</v>
      </c>
      <c r="V6" s="15">
        <v>0.93090000000000006</v>
      </c>
      <c r="W6" s="5">
        <v>2</v>
      </c>
      <c r="X6" s="7">
        <v>11.412800000000001</v>
      </c>
      <c r="Y6" s="17">
        <v>5586</v>
      </c>
      <c r="Z6" s="14">
        <v>69</v>
      </c>
      <c r="AA6" s="5">
        <v>5</v>
      </c>
      <c r="AB6" s="9">
        <v>1.288936627282492E-2</v>
      </c>
      <c r="AC6" s="7">
        <v>0.8950948800572861</v>
      </c>
      <c r="AF6" s="22" t="s">
        <v>723</v>
      </c>
      <c r="AG6" s="14">
        <v>4166931</v>
      </c>
      <c r="AH6" s="5">
        <v>9831</v>
      </c>
    </row>
    <row r="7" spans="1:34">
      <c r="A7" t="s">
        <v>540</v>
      </c>
      <c r="B7" s="18">
        <v>35</v>
      </c>
      <c r="C7" s="14">
        <v>11900928</v>
      </c>
      <c r="D7" s="5">
        <v>8629</v>
      </c>
      <c r="E7" s="15">
        <v>0.98290774187525509</v>
      </c>
      <c r="F7" s="5">
        <v>1082</v>
      </c>
      <c r="G7" s="7">
        <v>34033.460199999987</v>
      </c>
      <c r="H7" s="17">
        <v>340026.51428571431</v>
      </c>
      <c r="I7" s="14">
        <v>166834</v>
      </c>
      <c r="J7" s="5">
        <v>29034</v>
      </c>
      <c r="K7" s="9">
        <v>1.4834557439554294E-2</v>
      </c>
      <c r="L7" s="7">
        <v>2.4396416817243161</v>
      </c>
      <c r="R7" t="s">
        <v>563</v>
      </c>
      <c r="S7" s="18">
        <v>1</v>
      </c>
      <c r="T7" s="14">
        <v>2231</v>
      </c>
      <c r="U7" s="5">
        <v>2</v>
      </c>
      <c r="V7" s="15">
        <v>0.7298</v>
      </c>
      <c r="W7" s="5">
        <v>8</v>
      </c>
      <c r="X7" s="7">
        <v>15.2788</v>
      </c>
      <c r="Y7" s="17">
        <v>2231</v>
      </c>
      <c r="Z7" s="14">
        <v>70</v>
      </c>
      <c r="AA7" s="5">
        <v>4</v>
      </c>
      <c r="AB7" s="9">
        <v>3.5858359480053788E-2</v>
      </c>
      <c r="AC7" s="7">
        <v>1.7929179740026895</v>
      </c>
      <c r="AF7" s="22" t="s">
        <v>724</v>
      </c>
      <c r="AG7" s="14">
        <v>5733606</v>
      </c>
      <c r="AH7" s="5">
        <v>12303</v>
      </c>
    </row>
    <row r="8" spans="1:34">
      <c r="A8" t="s">
        <v>541</v>
      </c>
      <c r="B8" s="18">
        <v>42</v>
      </c>
      <c r="C8" s="14">
        <v>17239853</v>
      </c>
      <c r="D8" s="5">
        <v>1111</v>
      </c>
      <c r="E8" s="15">
        <v>0.93576916846680791</v>
      </c>
      <c r="F8" s="5">
        <v>283</v>
      </c>
      <c r="G8" s="7">
        <v>45921.488299999983</v>
      </c>
      <c r="H8" s="17">
        <v>410472.69047619047</v>
      </c>
      <c r="I8" s="14">
        <v>151488</v>
      </c>
      <c r="J8" s="5">
        <v>6251</v>
      </c>
      <c r="K8" s="9">
        <v>8.8679410433488027E-3</v>
      </c>
      <c r="L8" s="7">
        <v>0.36259009865107317</v>
      </c>
      <c r="R8" t="s">
        <v>680</v>
      </c>
      <c r="S8" s="18">
        <v>1</v>
      </c>
      <c r="T8" s="14">
        <v>36173</v>
      </c>
      <c r="U8" s="5">
        <v>5</v>
      </c>
      <c r="V8" s="15">
        <v>0.8952</v>
      </c>
      <c r="W8" s="5">
        <v>2</v>
      </c>
      <c r="X8" s="7">
        <v>94.573700000000002</v>
      </c>
      <c r="Y8" s="17">
        <v>36173</v>
      </c>
      <c r="Z8" s="14">
        <v>413</v>
      </c>
      <c r="AA8" s="5">
        <v>23</v>
      </c>
      <c r="AB8" s="9">
        <v>1.1610869985901086E-2</v>
      </c>
      <c r="AC8" s="7">
        <v>0.63583335637077376</v>
      </c>
      <c r="AF8" s="22" t="s">
        <v>725</v>
      </c>
      <c r="AG8" s="14">
        <v>5123613</v>
      </c>
      <c r="AH8" s="5">
        <v>3982</v>
      </c>
    </row>
    <row r="9" spans="1:34">
      <c r="A9" t="s">
        <v>543</v>
      </c>
      <c r="B9" s="18">
        <v>154</v>
      </c>
      <c r="C9" s="14">
        <v>35647865</v>
      </c>
      <c r="D9" s="5">
        <v>13087</v>
      </c>
      <c r="E9" s="15">
        <v>0.94083622752723062</v>
      </c>
      <c r="F9" s="5">
        <v>1789</v>
      </c>
      <c r="G9" s="7">
        <v>100810.21259999998</v>
      </c>
      <c r="H9" s="17">
        <v>231479.64285714287</v>
      </c>
      <c r="I9" s="14">
        <v>455121</v>
      </c>
      <c r="J9" s="5">
        <v>39378</v>
      </c>
      <c r="K9" s="9">
        <v>1.3184436150664282E-2</v>
      </c>
      <c r="L9" s="7">
        <v>1.1046383843744918</v>
      </c>
      <c r="R9" t="s">
        <v>604</v>
      </c>
      <c r="S9" s="18">
        <v>1</v>
      </c>
      <c r="T9" s="14">
        <v>1035157</v>
      </c>
      <c r="U9" s="5">
        <v>28</v>
      </c>
      <c r="V9" s="15">
        <v>0.79459999999999997</v>
      </c>
      <c r="W9" s="5">
        <v>4</v>
      </c>
      <c r="X9" s="7">
        <v>3000.1889999999999</v>
      </c>
      <c r="Y9" s="17">
        <v>1035157</v>
      </c>
      <c r="Z9" s="14">
        <v>3673</v>
      </c>
      <c r="AA9" s="5">
        <v>316</v>
      </c>
      <c r="AB9" s="9">
        <v>3.579167218112808E-3</v>
      </c>
      <c r="AC9" s="7">
        <v>0.30526770335321113</v>
      </c>
      <c r="AF9" s="22" t="s">
        <v>726</v>
      </c>
      <c r="AG9" s="14">
        <v>15535952</v>
      </c>
      <c r="AH9" s="5">
        <v>4637</v>
      </c>
    </row>
    <row r="10" spans="1:34">
      <c r="R10" t="s">
        <v>700</v>
      </c>
      <c r="S10" s="18">
        <v>1</v>
      </c>
      <c r="T10" s="14">
        <v>15898</v>
      </c>
      <c r="U10" s="5">
        <v>0</v>
      </c>
      <c r="V10" s="15">
        <v>0.92040000000000011</v>
      </c>
      <c r="W10" s="5">
        <v>1</v>
      </c>
      <c r="X10" s="7">
        <v>40.941800000000001</v>
      </c>
      <c r="Y10" s="17">
        <v>15898</v>
      </c>
      <c r="Z10" s="14">
        <v>150</v>
      </c>
      <c r="AA10" s="5">
        <v>13</v>
      </c>
      <c r="AB10" s="9">
        <v>9.498050069191093E-3</v>
      </c>
      <c r="AC10" s="7">
        <v>0.81771291986413386</v>
      </c>
      <c r="AF10" s="22" t="s">
        <v>727</v>
      </c>
      <c r="AG10" s="14">
        <v>4506506</v>
      </c>
      <c r="AH10" s="5">
        <v>1726</v>
      </c>
    </row>
    <row r="11" spans="1:34">
      <c r="R11" t="s">
        <v>669</v>
      </c>
      <c r="S11" s="18">
        <v>1</v>
      </c>
      <c r="T11" s="14">
        <v>41189</v>
      </c>
      <c r="U11" s="5">
        <v>7</v>
      </c>
      <c r="V11" s="15">
        <v>0.98220000000000007</v>
      </c>
      <c r="W11" s="5">
        <v>0</v>
      </c>
      <c r="X11" s="7">
        <v>119.0731</v>
      </c>
      <c r="Y11" s="17">
        <v>41189</v>
      </c>
      <c r="Z11" s="14">
        <v>636</v>
      </c>
      <c r="AA11" s="5">
        <v>20</v>
      </c>
      <c r="AB11" s="9">
        <v>1.5610964092354756E-2</v>
      </c>
      <c r="AC11" s="7">
        <v>0.48556653475442468</v>
      </c>
      <c r="AF11" s="13" t="s">
        <v>721</v>
      </c>
      <c r="AG11" s="14">
        <v>682252</v>
      </c>
      <c r="AH11" s="5">
        <v>-693</v>
      </c>
    </row>
    <row r="12" spans="1:34">
      <c r="R12" t="s">
        <v>703</v>
      </c>
      <c r="S12" s="18">
        <v>1</v>
      </c>
      <c r="T12" s="14">
        <v>35233</v>
      </c>
      <c r="U12" s="5">
        <v>1</v>
      </c>
      <c r="V12" s="15">
        <v>1.0408999999999999</v>
      </c>
      <c r="W12" s="5">
        <v>0</v>
      </c>
      <c r="X12" s="7">
        <v>98.462400000000002</v>
      </c>
      <c r="Y12" s="17">
        <v>35233</v>
      </c>
      <c r="Z12" s="14">
        <v>345</v>
      </c>
      <c r="AA12" s="5">
        <v>18</v>
      </c>
      <c r="AB12" s="9">
        <v>9.8203388868390428E-3</v>
      </c>
      <c r="AC12" s="7">
        <v>0.51088468197428549</v>
      </c>
      <c r="AF12" s="22" t="s">
        <v>728</v>
      </c>
      <c r="AG12" s="14">
        <v>558446</v>
      </c>
      <c r="AH12" s="5">
        <v>243</v>
      </c>
    </row>
    <row r="13" spans="1:34">
      <c r="R13" t="s">
        <v>682</v>
      </c>
      <c r="S13" s="18">
        <v>1</v>
      </c>
      <c r="T13" s="14">
        <v>32210</v>
      </c>
      <c r="U13" s="5">
        <v>0</v>
      </c>
      <c r="V13" s="15">
        <v>0.92749999999999999</v>
      </c>
      <c r="W13" s="5">
        <v>1</v>
      </c>
      <c r="X13" s="7">
        <v>74.808999999999997</v>
      </c>
      <c r="Y13" s="17">
        <v>32210</v>
      </c>
      <c r="Z13" s="14">
        <v>262</v>
      </c>
      <c r="AA13" s="5">
        <v>10</v>
      </c>
      <c r="AB13" s="9">
        <v>8.1651660974852523E-3</v>
      </c>
      <c r="AC13" s="7">
        <v>0.31046258925799441</v>
      </c>
      <c r="AF13" s="22" t="s">
        <v>729</v>
      </c>
      <c r="AG13" s="14">
        <v>10701</v>
      </c>
      <c r="AH13" s="5">
        <v>-120</v>
      </c>
    </row>
    <row r="14" spans="1:34">
      <c r="R14" t="s">
        <v>655</v>
      </c>
      <c r="S14" s="18">
        <v>1</v>
      </c>
      <c r="T14" s="14">
        <v>133627</v>
      </c>
      <c r="U14" s="5">
        <v>13</v>
      </c>
      <c r="V14" s="15">
        <v>0.94799999999999995</v>
      </c>
      <c r="W14" s="5">
        <v>1</v>
      </c>
      <c r="X14" s="7">
        <v>336.69200000000001</v>
      </c>
      <c r="Y14" s="17">
        <v>133627</v>
      </c>
      <c r="Z14" s="14">
        <v>1513</v>
      </c>
      <c r="AA14" s="5">
        <v>40</v>
      </c>
      <c r="AB14" s="9">
        <v>1.1427331302805571E-2</v>
      </c>
      <c r="AC14" s="7">
        <v>0.2993407021036168</v>
      </c>
      <c r="AF14" s="22" t="s">
        <v>730</v>
      </c>
      <c r="AG14" s="14">
        <v>10007</v>
      </c>
      <c r="AH14" s="5">
        <v>-143</v>
      </c>
    </row>
    <row r="15" spans="1:34">
      <c r="R15" t="s">
        <v>661</v>
      </c>
      <c r="S15" s="18">
        <v>1</v>
      </c>
      <c r="T15" s="14">
        <v>39663</v>
      </c>
      <c r="U15" s="5">
        <v>9</v>
      </c>
      <c r="V15" s="15">
        <v>1.0726</v>
      </c>
      <c r="W15" s="5">
        <v>3</v>
      </c>
      <c r="X15" s="7">
        <v>91.400300000000001</v>
      </c>
      <c r="Y15" s="17">
        <v>39663</v>
      </c>
      <c r="Z15" s="14">
        <v>465</v>
      </c>
      <c r="AA15" s="5">
        <v>31</v>
      </c>
      <c r="AB15" s="9">
        <v>1.2026321760835035E-2</v>
      </c>
      <c r="AC15" s="7">
        <v>0.78158485238131259</v>
      </c>
      <c r="AF15" s="22" t="s">
        <v>731</v>
      </c>
      <c r="AG15" s="14">
        <v>10844</v>
      </c>
      <c r="AH15" s="5">
        <v>-154</v>
      </c>
    </row>
    <row r="16" spans="1:34">
      <c r="R16" t="s">
        <v>708</v>
      </c>
      <c r="S16" s="18">
        <v>1</v>
      </c>
      <c r="T16" s="14">
        <v>19680</v>
      </c>
      <c r="U16" s="5">
        <v>2</v>
      </c>
      <c r="V16" s="15">
        <v>0.92030000000000001</v>
      </c>
      <c r="W16" s="5">
        <v>0</v>
      </c>
      <c r="X16" s="7">
        <v>49.147599999999997</v>
      </c>
      <c r="Y16" s="17">
        <v>19680</v>
      </c>
      <c r="Z16" s="14">
        <v>225</v>
      </c>
      <c r="AA16" s="5">
        <v>7</v>
      </c>
      <c r="AB16" s="9">
        <v>1.1534552845528455E-2</v>
      </c>
      <c r="AC16" s="7">
        <v>0.35569105691056913</v>
      </c>
      <c r="AF16" s="22" t="s">
        <v>732</v>
      </c>
      <c r="AG16" s="14">
        <v>12143</v>
      </c>
      <c r="AH16" s="5">
        <v>-105</v>
      </c>
    </row>
    <row r="17" spans="1:34">
      <c r="R17" t="s">
        <v>593</v>
      </c>
      <c r="S17" s="18">
        <v>1</v>
      </c>
      <c r="T17" s="14">
        <v>103049</v>
      </c>
      <c r="U17" s="5">
        <v>43</v>
      </c>
      <c r="V17" s="15">
        <v>0.97739999999999994</v>
      </c>
      <c r="W17" s="5">
        <v>17</v>
      </c>
      <c r="X17" s="7">
        <v>353.8544</v>
      </c>
      <c r="Y17" s="17">
        <v>103049</v>
      </c>
      <c r="Z17" s="14">
        <v>1563</v>
      </c>
      <c r="AA17" s="5">
        <v>274</v>
      </c>
      <c r="AB17" s="9">
        <v>1.5749788935360848E-2</v>
      </c>
      <c r="AC17" s="7">
        <v>2.6589292472513075</v>
      </c>
      <c r="AF17" s="22" t="s">
        <v>733</v>
      </c>
      <c r="AG17" s="14">
        <v>16510</v>
      </c>
      <c r="AH17" s="5">
        <v>-136</v>
      </c>
    </row>
    <row r="18" spans="1:34">
      <c r="R18" t="s">
        <v>628</v>
      </c>
      <c r="S18" s="18">
        <v>1</v>
      </c>
      <c r="T18" s="14">
        <v>5115</v>
      </c>
      <c r="U18" s="5">
        <v>3</v>
      </c>
      <c r="V18" s="15">
        <v>0.58789999999999998</v>
      </c>
      <c r="W18" s="5">
        <v>2</v>
      </c>
      <c r="X18" s="7">
        <v>13.801600000000001</v>
      </c>
      <c r="Y18" s="17">
        <v>5115</v>
      </c>
      <c r="Z18" s="14">
        <v>213</v>
      </c>
      <c r="AA18" s="5">
        <v>4</v>
      </c>
      <c r="AB18" s="9">
        <v>4.2619745845552295E-2</v>
      </c>
      <c r="AC18" s="7">
        <v>0.78201368523949166</v>
      </c>
      <c r="AF18" s="22" t="s">
        <v>722</v>
      </c>
      <c r="AG18" s="14">
        <v>19662</v>
      </c>
      <c r="AH18" s="5">
        <v>-116</v>
      </c>
    </row>
    <row r="19" spans="1:34">
      <c r="R19" t="s">
        <v>609</v>
      </c>
      <c r="S19" s="18">
        <v>1</v>
      </c>
      <c r="T19" s="14">
        <v>33389</v>
      </c>
      <c r="U19" s="5">
        <v>16</v>
      </c>
      <c r="V19" s="15">
        <v>0.99390000000000012</v>
      </c>
      <c r="W19" s="5">
        <v>2</v>
      </c>
      <c r="X19" s="7">
        <v>96.260900000000007</v>
      </c>
      <c r="Y19" s="17">
        <v>33389</v>
      </c>
      <c r="Z19" s="14">
        <v>770</v>
      </c>
      <c r="AA19" s="5">
        <v>90</v>
      </c>
      <c r="AB19" s="9">
        <v>2.3600587019677138E-2</v>
      </c>
      <c r="AC19" s="7">
        <v>2.6954985174758153</v>
      </c>
      <c r="AF19" s="22" t="s">
        <v>723</v>
      </c>
      <c r="AG19" s="14">
        <v>23202</v>
      </c>
      <c r="AH19" s="5">
        <v>-106</v>
      </c>
    </row>
    <row r="20" spans="1:34">
      <c r="R20" t="s">
        <v>625</v>
      </c>
      <c r="S20" s="18">
        <v>1</v>
      </c>
      <c r="T20" s="14">
        <v>30614</v>
      </c>
      <c r="U20" s="5">
        <v>5</v>
      </c>
      <c r="V20" s="15">
        <v>0.89800000000000002</v>
      </c>
      <c r="W20" s="5">
        <v>2</v>
      </c>
      <c r="X20" s="7">
        <v>81.922899999999998</v>
      </c>
      <c r="Y20" s="17">
        <v>30614</v>
      </c>
      <c r="Z20" s="14">
        <v>444</v>
      </c>
      <c r="AA20" s="5">
        <v>58</v>
      </c>
      <c r="AB20" s="9">
        <v>1.4731822042202913E-2</v>
      </c>
      <c r="AC20" s="7">
        <v>1.8945580453387338</v>
      </c>
      <c r="AF20" s="22" t="s">
        <v>724</v>
      </c>
      <c r="AG20" s="14">
        <v>20737</v>
      </c>
      <c r="AH20" s="5">
        <v>-56</v>
      </c>
    </row>
    <row r="21" spans="1:34">
      <c r="R21" t="s">
        <v>662</v>
      </c>
      <c r="S21" s="18">
        <v>1</v>
      </c>
      <c r="T21" s="14">
        <v>19693</v>
      </c>
      <c r="U21" s="5">
        <v>5</v>
      </c>
      <c r="V21" s="15">
        <v>0.9040999999999999</v>
      </c>
      <c r="W21" s="5">
        <v>1</v>
      </c>
      <c r="X21" s="7">
        <v>52.194899999999997</v>
      </c>
      <c r="Y21" s="17">
        <v>19693</v>
      </c>
      <c r="Z21" s="14">
        <v>266</v>
      </c>
      <c r="AA21" s="5">
        <v>15</v>
      </c>
      <c r="AB21" s="9">
        <v>1.3812014421367999E-2</v>
      </c>
      <c r="AC21" s="7">
        <v>0.76169197176661763</v>
      </c>
      <c r="AF21" s="13" t="s">
        <v>543</v>
      </c>
      <c r="AG21" s="14">
        <v>35749552</v>
      </c>
      <c r="AH21" s="5">
        <v>31793</v>
      </c>
    </row>
    <row r="22" spans="1:34">
      <c r="R22" t="s">
        <v>601</v>
      </c>
      <c r="S22" s="18">
        <v>1</v>
      </c>
      <c r="T22" s="14">
        <v>39663</v>
      </c>
      <c r="U22" s="5">
        <v>20</v>
      </c>
      <c r="V22" s="15">
        <v>0.86230000000000007</v>
      </c>
      <c r="W22" s="5">
        <v>17</v>
      </c>
      <c r="X22" s="7">
        <v>179.5077</v>
      </c>
      <c r="Y22" s="17">
        <v>39663</v>
      </c>
      <c r="Z22" s="14">
        <v>1509</v>
      </c>
      <c r="AA22" s="5">
        <v>252</v>
      </c>
      <c r="AB22" s="9">
        <v>3.8978392960693845E-2</v>
      </c>
      <c r="AC22" s="7">
        <v>6.3535284774222829</v>
      </c>
    </row>
    <row r="23" spans="1:34">
      <c r="R23" t="s">
        <v>679</v>
      </c>
      <c r="S23" s="18">
        <v>1</v>
      </c>
      <c r="T23" s="14">
        <v>40754</v>
      </c>
      <c r="U23" s="5">
        <v>9</v>
      </c>
      <c r="V23" s="15">
        <v>1.0237000000000001</v>
      </c>
      <c r="W23" s="5">
        <v>2</v>
      </c>
      <c r="X23" s="7">
        <v>113.80670000000001</v>
      </c>
      <c r="Y23" s="17">
        <v>40754</v>
      </c>
      <c r="Z23" s="14">
        <v>606</v>
      </c>
      <c r="AA23" s="5">
        <v>21</v>
      </c>
      <c r="AB23" s="9">
        <v>1.5139618196986799E-2</v>
      </c>
      <c r="AC23" s="7">
        <v>0.51528684300927508</v>
      </c>
    </row>
    <row r="24" spans="1:34">
      <c r="R24" t="s">
        <v>582</v>
      </c>
      <c r="S24" s="18">
        <v>1</v>
      </c>
      <c r="T24" s="14">
        <v>97694</v>
      </c>
      <c r="U24" s="5">
        <v>85</v>
      </c>
      <c r="V24" s="15">
        <v>0.93099999999999983</v>
      </c>
      <c r="W24" s="5">
        <v>12</v>
      </c>
      <c r="X24" s="7">
        <v>253.0812</v>
      </c>
      <c r="Y24" s="17">
        <v>97694</v>
      </c>
      <c r="Z24" s="14">
        <v>2142</v>
      </c>
      <c r="AA24" s="5">
        <v>357</v>
      </c>
      <c r="AB24" s="9">
        <v>2.2918500624398631E-2</v>
      </c>
      <c r="AC24" s="7">
        <v>3.6542674063913854</v>
      </c>
    </row>
    <row r="25" spans="1:34">
      <c r="R25" t="s">
        <v>587</v>
      </c>
      <c r="S25" s="18">
        <v>1</v>
      </c>
      <c r="T25" s="14">
        <v>47587</v>
      </c>
      <c r="U25" s="5">
        <v>24</v>
      </c>
      <c r="V25" s="15">
        <v>1.0415999999999999</v>
      </c>
      <c r="W25" s="5">
        <v>10</v>
      </c>
      <c r="X25" s="7">
        <v>120.1973</v>
      </c>
      <c r="Y25" s="17">
        <v>47587</v>
      </c>
      <c r="Z25" s="14">
        <v>886</v>
      </c>
      <c r="AA25" s="5">
        <v>229</v>
      </c>
      <c r="AB25" s="9">
        <v>1.9333011116481391E-2</v>
      </c>
      <c r="AC25" s="7">
        <v>4.8122386366024328</v>
      </c>
    </row>
    <row r="26" spans="1:34">
      <c r="R26" t="s">
        <v>605</v>
      </c>
      <c r="S26" s="18">
        <v>1</v>
      </c>
      <c r="T26" s="14">
        <v>35916</v>
      </c>
      <c r="U26" s="5">
        <v>28</v>
      </c>
      <c r="V26" s="15">
        <v>1.0965</v>
      </c>
      <c r="W26" s="5">
        <v>5</v>
      </c>
      <c r="X26" s="7">
        <v>96.566000000000003</v>
      </c>
      <c r="Y26" s="17">
        <v>35916</v>
      </c>
      <c r="Z26" s="14">
        <v>761</v>
      </c>
      <c r="AA26" s="5">
        <v>55</v>
      </c>
      <c r="AB26" s="9">
        <v>2.2107138879607975E-2</v>
      </c>
      <c r="AC26" s="7">
        <v>1.5313509299476558</v>
      </c>
    </row>
    <row r="27" spans="1:34">
      <c r="R27" t="s">
        <v>589</v>
      </c>
      <c r="S27" s="18">
        <v>1</v>
      </c>
      <c r="T27" s="14">
        <v>39641</v>
      </c>
      <c r="U27" s="5">
        <v>25</v>
      </c>
      <c r="V27" s="15">
        <v>0.95069999999999988</v>
      </c>
      <c r="W27" s="5">
        <v>7</v>
      </c>
      <c r="X27" s="7">
        <v>120.4915</v>
      </c>
      <c r="Y27" s="17">
        <v>39641</v>
      </c>
      <c r="Z27" s="14">
        <v>727</v>
      </c>
      <c r="AA27" s="5">
        <v>221</v>
      </c>
      <c r="AB27" s="9">
        <v>1.9146842915163595E-2</v>
      </c>
      <c r="AC27" s="7">
        <v>5.5750359476299787</v>
      </c>
    </row>
    <row r="28" spans="1:34">
      <c r="R28" t="s">
        <v>618</v>
      </c>
      <c r="S28" s="18">
        <v>1</v>
      </c>
      <c r="T28" s="14">
        <v>22218</v>
      </c>
      <c r="U28" s="5">
        <v>11</v>
      </c>
      <c r="V28" s="15">
        <v>0.92079999999999995</v>
      </c>
      <c r="W28" s="5">
        <v>5</v>
      </c>
      <c r="X28" s="7">
        <v>49.648499999999999</v>
      </c>
      <c r="Y28" s="17">
        <v>22218</v>
      </c>
      <c r="Z28" s="14">
        <v>486</v>
      </c>
      <c r="AA28" s="5">
        <v>47</v>
      </c>
      <c r="AB28" s="9">
        <v>2.2594292915653975E-2</v>
      </c>
      <c r="AC28" s="7">
        <v>2.1154019263660095</v>
      </c>
    </row>
    <row r="29" spans="1:34">
      <c r="A29" t="s">
        <v>737</v>
      </c>
      <c r="R29" t="s">
        <v>600</v>
      </c>
      <c r="S29" s="18">
        <v>1</v>
      </c>
      <c r="T29" s="14">
        <v>35963</v>
      </c>
      <c r="U29" s="5">
        <v>24</v>
      </c>
      <c r="V29" s="15">
        <v>0.94250000000000012</v>
      </c>
      <c r="W29" s="5">
        <v>5</v>
      </c>
      <c r="X29" s="7">
        <v>107.2136</v>
      </c>
      <c r="Y29" s="17">
        <v>35963</v>
      </c>
      <c r="Z29" s="14">
        <v>734</v>
      </c>
      <c r="AA29" s="5">
        <v>95</v>
      </c>
      <c r="AB29" s="9">
        <v>2.1216250034757946E-2</v>
      </c>
      <c r="AC29" s="7">
        <v>2.6416038706448295</v>
      </c>
    </row>
    <row r="30" spans="1:34">
      <c r="A30" s="20"/>
      <c r="B30" s="19"/>
      <c r="C30" s="19"/>
      <c r="D30" t="s">
        <v>560</v>
      </c>
      <c r="R30" t="s">
        <v>607</v>
      </c>
      <c r="S30" s="18">
        <v>1</v>
      </c>
      <c r="T30" s="14">
        <v>21686</v>
      </c>
      <c r="U30" s="5">
        <v>7</v>
      </c>
      <c r="V30" s="15">
        <v>0.81150000000000011</v>
      </c>
      <c r="W30" s="5">
        <v>3</v>
      </c>
      <c r="X30" s="7">
        <v>69.346199999999996</v>
      </c>
      <c r="Y30" s="17">
        <v>21686</v>
      </c>
      <c r="Z30" s="14">
        <v>281</v>
      </c>
      <c r="AA30" s="5">
        <v>39</v>
      </c>
      <c r="AB30" s="9">
        <v>1.3418795536290695E-2</v>
      </c>
      <c r="AC30" s="7">
        <v>1.7983952780595778</v>
      </c>
    </row>
    <row r="31" spans="1:34" ht="25.5">
      <c r="A31" s="20" t="s">
        <v>536</v>
      </c>
      <c r="B31" s="20" t="str">
        <f>Dashboard!B20</f>
        <v xml:space="preserve">Görüntüleme </v>
      </c>
      <c r="C31" s="20"/>
      <c r="D31" t="str">
        <f>$B$3</f>
        <v>Video Sayısı</v>
      </c>
      <c r="E31" s="15">
        <f>IFERROR(INDEX($B$4:$L$20,MATCH("Genel Toplam",$A$4:$A$20,0),MATCH(D31,$B$3:$L$3,0)),0)</f>
        <v>154</v>
      </c>
      <c r="F31" t="str">
        <f>TEXT(E31,"#.##0")</f>
        <v>154</v>
      </c>
      <c r="R31" t="s">
        <v>603</v>
      </c>
      <c r="S31" s="18">
        <v>1</v>
      </c>
      <c r="T31" s="14">
        <v>34285</v>
      </c>
      <c r="U31" s="5">
        <v>27</v>
      </c>
      <c r="V31" s="15">
        <v>0.92559999999999998</v>
      </c>
      <c r="W31" s="5">
        <v>3</v>
      </c>
      <c r="X31" s="7">
        <v>106.7115</v>
      </c>
      <c r="Y31" s="17">
        <v>34285</v>
      </c>
      <c r="Z31" s="14">
        <v>986</v>
      </c>
      <c r="AA31" s="5">
        <v>131</v>
      </c>
      <c r="AB31" s="9">
        <v>2.9633950707306404E-2</v>
      </c>
      <c r="AC31" s="7">
        <v>3.82091293568616</v>
      </c>
    </row>
    <row r="32" spans="1:34">
      <c r="A32" s="20" t="s">
        <v>539</v>
      </c>
      <c r="B32" s="19">
        <f>IFERROR(INDEX($B$4:$L$20,MATCH(A32,$A$4:$A$20,0),MATCH($B$31,$B$3:$L$3,0)),NA())</f>
        <v>141143</v>
      </c>
      <c r="C32" s="19" t="str">
        <f>IFERROR(IF(ISNUMBER(FIND("%",$B$31)),TEXT(B32,"%0,0"),IF(ISNUMBER(FIND("Oran",$B$31)),TEXT(B32,"%0,00"),IF(ISNUMBER(FIND("/ 1000",$B$31)),TEXT(B32,"0,0"),TEXT(B32,"#.##0")))),"")</f>
        <v>141.143</v>
      </c>
      <c r="D32" t="str">
        <f>$C$3</f>
        <v xml:space="preserve">Görüntüleme </v>
      </c>
      <c r="E32" s="15">
        <f t="shared" ref="E32:E35" si="0">IFERROR(INDEX($B$4:$L$20,MATCH("Genel Toplam",$A$4:$A$20,0),MATCH(D32,$B$3:$L$3,0)),0)</f>
        <v>35647865</v>
      </c>
      <c r="F32" t="str">
        <f>TEXT(E32/1000000,"0,0")&amp;" M"</f>
        <v>35,6 M</v>
      </c>
      <c r="R32" t="s">
        <v>606</v>
      </c>
      <c r="S32" s="18">
        <v>1</v>
      </c>
      <c r="T32" s="14">
        <v>34484</v>
      </c>
      <c r="U32" s="5">
        <v>24</v>
      </c>
      <c r="V32" s="15">
        <v>0.92220000000000002</v>
      </c>
      <c r="W32" s="5">
        <v>5</v>
      </c>
      <c r="X32" s="7">
        <v>109.9778</v>
      </c>
      <c r="Y32" s="17">
        <v>34484</v>
      </c>
      <c r="Z32" s="14">
        <v>755</v>
      </c>
      <c r="AA32" s="5">
        <v>86</v>
      </c>
      <c r="AB32" s="9">
        <v>2.2735181533464797E-2</v>
      </c>
      <c r="AC32" s="7">
        <v>2.4939102192321077</v>
      </c>
    </row>
    <row r="33" spans="1:29">
      <c r="A33" s="20" t="s">
        <v>538</v>
      </c>
      <c r="B33" s="19">
        <f t="shared" ref="B33:B36" si="1">IFERROR(INDEX($B$4:$L$20,MATCH(A33,$A$4:$A$20,0),MATCH($B$31,$B$3:$L$3,0)),NA())</f>
        <v>79018</v>
      </c>
      <c r="C33" s="19" t="str">
        <f t="shared" ref="C33:C36" si="2">IFERROR(IF(ISNUMBER(FIND("%",$B$31)),TEXT(B33,"%0,0"),IF(ISNUMBER(FIND("Oran",$B$31)),TEXT(B33,"%0,00"),IF(ISNUMBER(FIND("/ 1000",$B$31)),TEXT(B33,"0,0"),TEXT(B33,"#.##0")))),"")</f>
        <v>79.018</v>
      </c>
      <c r="D33" t="str">
        <f>$G$3</f>
        <v>İzlenme (saat)</v>
      </c>
      <c r="E33" s="15">
        <f t="shared" si="0"/>
        <v>100810.21259999998</v>
      </c>
      <c r="F33" t="str">
        <f>TEXT(E33,"#.##0")</f>
        <v>100.810</v>
      </c>
      <c r="R33" t="s">
        <v>602</v>
      </c>
      <c r="S33" s="18">
        <v>1</v>
      </c>
      <c r="T33" s="14">
        <v>28789</v>
      </c>
      <c r="U33" s="5">
        <v>29</v>
      </c>
      <c r="V33" s="15">
        <v>0.79420000000000002</v>
      </c>
      <c r="W33" s="5">
        <v>5</v>
      </c>
      <c r="X33" s="7">
        <v>134.9289</v>
      </c>
      <c r="Y33" s="17">
        <v>28789</v>
      </c>
      <c r="Z33" s="14">
        <v>953</v>
      </c>
      <c r="AA33" s="5">
        <v>54</v>
      </c>
      <c r="AB33" s="9">
        <v>3.4283927889124322E-2</v>
      </c>
      <c r="AC33" s="7">
        <v>1.8757164194657683</v>
      </c>
    </row>
    <row r="34" spans="1:29">
      <c r="A34" s="20" t="s">
        <v>537</v>
      </c>
      <c r="B34" s="19">
        <f t="shared" si="1"/>
        <v>6286923</v>
      </c>
      <c r="C34" s="19" t="str">
        <f t="shared" si="2"/>
        <v>6.286.923</v>
      </c>
      <c r="D34" s="15" t="str">
        <f>$E$3</f>
        <v>Ort. İzlenme %</v>
      </c>
      <c r="E34" s="15">
        <f t="shared" si="0"/>
        <v>0.94083622752723062</v>
      </c>
      <c r="F34" t="str">
        <f>TEXT(E34,"%0,0")</f>
        <v>%94,1</v>
      </c>
      <c r="R34" t="s">
        <v>667</v>
      </c>
      <c r="S34" s="18">
        <v>1</v>
      </c>
      <c r="T34" s="14">
        <v>31718</v>
      </c>
      <c r="U34" s="5">
        <v>5</v>
      </c>
      <c r="V34" s="15">
        <v>0.95319999999999994</v>
      </c>
      <c r="W34" s="5">
        <v>1</v>
      </c>
      <c r="X34" s="7">
        <v>108.1288</v>
      </c>
      <c r="Y34" s="17">
        <v>31718</v>
      </c>
      <c r="Z34" s="14">
        <v>200</v>
      </c>
      <c r="AA34" s="5">
        <v>23</v>
      </c>
      <c r="AB34" s="9">
        <v>6.4947348508733209E-3</v>
      </c>
      <c r="AC34" s="7">
        <v>0.7251402988839144</v>
      </c>
    </row>
    <row r="35" spans="1:29">
      <c r="A35" s="20" t="s">
        <v>540</v>
      </c>
      <c r="B35" s="19">
        <f t="shared" si="1"/>
        <v>11900928</v>
      </c>
      <c r="C35" s="19" t="str">
        <f t="shared" si="2"/>
        <v>11.900.928</v>
      </c>
      <c r="D35" t="str">
        <f>$J$3</f>
        <v>Abone</v>
      </c>
      <c r="E35" s="15">
        <f t="shared" si="0"/>
        <v>39378</v>
      </c>
      <c r="F35" t="str">
        <f>TEXT(E35,"#.##0")</f>
        <v>39.378</v>
      </c>
      <c r="R35" t="s">
        <v>629</v>
      </c>
      <c r="S35" s="18">
        <v>1</v>
      </c>
      <c r="T35" s="14">
        <v>1913</v>
      </c>
      <c r="U35" s="5">
        <v>1</v>
      </c>
      <c r="V35" s="15">
        <v>0.64190000000000003</v>
      </c>
      <c r="W35" s="5">
        <v>1</v>
      </c>
      <c r="X35" s="7">
        <v>9.3345000000000002</v>
      </c>
      <c r="Y35" s="17">
        <v>1913</v>
      </c>
      <c r="Z35" s="14">
        <v>41</v>
      </c>
      <c r="AA35" s="5">
        <v>3</v>
      </c>
      <c r="AB35" s="9">
        <v>2.2477783585990591E-2</v>
      </c>
      <c r="AC35" s="7">
        <v>1.5682174594877156</v>
      </c>
    </row>
    <row r="36" spans="1:29">
      <c r="A36" s="20" t="s">
        <v>541</v>
      </c>
      <c r="B36" s="19">
        <f t="shared" si="1"/>
        <v>17239853</v>
      </c>
      <c r="C36" s="19" t="str">
        <f t="shared" si="2"/>
        <v>17.239.853</v>
      </c>
      <c r="R36" t="s">
        <v>657</v>
      </c>
      <c r="S36" s="18">
        <v>1</v>
      </c>
      <c r="T36" s="14">
        <v>68179</v>
      </c>
      <c r="U36" s="5">
        <v>10</v>
      </c>
      <c r="V36" s="15">
        <v>0.96340000000000003</v>
      </c>
      <c r="W36" s="5">
        <v>0</v>
      </c>
      <c r="X36" s="7">
        <v>192.56450000000001</v>
      </c>
      <c r="Y36" s="17">
        <v>68179</v>
      </c>
      <c r="Z36" s="14">
        <v>871</v>
      </c>
      <c r="AA36" s="5">
        <v>41</v>
      </c>
      <c r="AB36" s="9">
        <v>1.2921867437187404E-2</v>
      </c>
      <c r="AC36" s="7">
        <v>0.60135818947183151</v>
      </c>
    </row>
    <row r="37" spans="1:29">
      <c r="R37" t="s">
        <v>597</v>
      </c>
      <c r="S37" s="18">
        <v>1</v>
      </c>
      <c r="T37" s="14">
        <v>37514</v>
      </c>
      <c r="U37" s="5">
        <v>38</v>
      </c>
      <c r="V37" s="15">
        <v>0.89030000000000009</v>
      </c>
      <c r="W37" s="5">
        <v>3</v>
      </c>
      <c r="X37" s="7">
        <v>126.2915</v>
      </c>
      <c r="Y37" s="17">
        <v>37514</v>
      </c>
      <c r="Z37" s="14">
        <v>811</v>
      </c>
      <c r="AA37" s="5">
        <v>75</v>
      </c>
      <c r="AB37" s="9">
        <v>2.2711521032147998E-2</v>
      </c>
      <c r="AC37" s="7">
        <v>1.999253611984859</v>
      </c>
    </row>
    <row r="38" spans="1:29">
      <c r="R38" t="s">
        <v>598</v>
      </c>
      <c r="S38" s="18">
        <v>1</v>
      </c>
      <c r="T38" s="14">
        <v>37864</v>
      </c>
      <c r="U38" s="5">
        <v>32</v>
      </c>
      <c r="V38" s="15">
        <v>0.98210000000000008</v>
      </c>
      <c r="W38" s="5">
        <v>8</v>
      </c>
      <c r="X38" s="7">
        <v>121.795</v>
      </c>
      <c r="Y38" s="17">
        <v>37864</v>
      </c>
      <c r="Z38" s="14">
        <v>808</v>
      </c>
      <c r="AA38" s="5">
        <v>139</v>
      </c>
      <c r="AB38" s="9">
        <v>2.2395943376294105E-2</v>
      </c>
      <c r="AC38" s="7">
        <v>3.671033171350095</v>
      </c>
    </row>
    <row r="39" spans="1:29">
      <c r="A39" t="s">
        <v>716</v>
      </c>
      <c r="D39" t="str">
        <f>"En İyi 10 Video: "&amp;TRIM($B$31)</f>
        <v>En İyi 10 Video: Görüntüleme</v>
      </c>
      <c r="R39" t="s">
        <v>614</v>
      </c>
      <c r="S39" s="18">
        <v>1</v>
      </c>
      <c r="T39" s="14">
        <v>31853</v>
      </c>
      <c r="U39" s="5">
        <v>14</v>
      </c>
      <c r="V39" s="15">
        <v>0.95250000000000001</v>
      </c>
      <c r="W39" s="5">
        <v>1</v>
      </c>
      <c r="X39" s="7">
        <v>89.251300000000001</v>
      </c>
      <c r="Y39" s="17">
        <v>31853</v>
      </c>
      <c r="Z39" s="14">
        <v>678</v>
      </c>
      <c r="AA39" s="5">
        <v>137</v>
      </c>
      <c r="AB39" s="9">
        <v>2.1756192509339779E-2</v>
      </c>
      <c r="AC39" s="7">
        <v>4.3010077543716445</v>
      </c>
    </row>
    <row r="40" spans="1:29">
      <c r="A40" t="str" cm="1">
        <f t="array" ref="A40:B49">_xlfn.LET(_xlpm.ad,$R$4:$R$300,_xlpm.tb,$S$3:$AC$3,_xlpm.v,$S$4:$AC$300,_xlpm.m,INDEX(_xlpm.v,0,MATCH($B$31,_xlpm.tb,0)),_xlpm.g,INDEX(_xlpm.v,0,MATCH("Görüntüleme ",_xlpm.tb,0)),_xlpm.ok,(_xlpm.ad&lt;&gt;"")*(_xlpm.ad&lt;&gt;"Genel Toplam")*(_xlpm.g&gt;=10000),_xlfn.TAKE(_xlfn.SORTBY(_xlfn._xlws.FILTER(_xlfn.HSTACK(_xlpm.ad,_xlpm.m),_xlpm.ok),_xlfn._xlws.FILTER(_xlpm.m,_xlpm.ok),-1),10))</f>
        <v>Snake speed vs Cat Speed!! (31.10.25)</v>
      </c>
      <c r="B40">
        <v>12066018</v>
      </c>
      <c r="C40" t="str">
        <f>IF(A40="","",IF(ISNUMBER(FIND("%",$B$31)),TEXT(B40,"%0,0"),IF(ISNUMBER(FIND("Oran",$B$31)),TEXT(B40,"%0,00"),IF(ISNUMBER(FIND("/ 1000",$B$31)),TEXT(B40,"0,0"),TEXT(B40,"#.##0")))))</f>
        <v>12.066.018</v>
      </c>
      <c r="R40" t="s">
        <v>617</v>
      </c>
      <c r="S40" s="18">
        <v>1</v>
      </c>
      <c r="T40" s="14">
        <v>31237</v>
      </c>
      <c r="U40" s="5">
        <v>9</v>
      </c>
      <c r="V40" s="15">
        <v>0.96849999999999992</v>
      </c>
      <c r="W40" s="5">
        <v>3</v>
      </c>
      <c r="X40" s="7">
        <v>89.7577</v>
      </c>
      <c r="Y40" s="17">
        <v>31237</v>
      </c>
      <c r="Z40" s="14">
        <v>541</v>
      </c>
      <c r="AA40" s="5">
        <v>65</v>
      </c>
      <c r="AB40" s="9">
        <v>1.7703364599673463E-2</v>
      </c>
      <c r="AC40" s="7">
        <v>2.0808656401062842</v>
      </c>
    </row>
    <row r="41" spans="1:29">
      <c r="A41" t="str">
        <v>Girl vs Boy Cats! (17.08.25)</v>
      </c>
      <c r="B41">
        <v>9245082</v>
      </c>
      <c r="C41" t="str">
        <f t="shared" ref="C41:C49" si="3">IF(A41="","",IF(ISNUMBER(FIND("%",$B$31)),TEXT(B41,"%0,0"),IF(ISNUMBER(FIND("Oran",$B$31)),TEXT(B41,"%0,00"),IF(ISNUMBER(FIND("/ 1000",$B$31)),TEXT(B41,"0,0"),TEXT(B41,"#.##0")))))</f>
        <v>9.245.082</v>
      </c>
      <c r="R41" t="s">
        <v>635</v>
      </c>
      <c r="S41" s="18">
        <v>1</v>
      </c>
      <c r="T41" s="14">
        <v>5876</v>
      </c>
      <c r="U41" s="5">
        <v>5</v>
      </c>
      <c r="V41" s="15">
        <v>0.69189999999999996</v>
      </c>
      <c r="W41" s="5">
        <v>2</v>
      </c>
      <c r="X41" s="7">
        <v>14.3218</v>
      </c>
      <c r="Y41" s="17">
        <v>5876</v>
      </c>
      <c r="Z41" s="14">
        <v>95</v>
      </c>
      <c r="AA41" s="5">
        <v>7</v>
      </c>
      <c r="AB41" s="9">
        <v>1.7358747447243021E-2</v>
      </c>
      <c r="AC41" s="7">
        <v>1.191286589516678</v>
      </c>
    </row>
    <row r="42" spans="1:29">
      <c r="A42" t="str">
        <v>Ranking Veterinarian Cat Moments! (25.11.25)</v>
      </c>
      <c r="B42">
        <v>4525030</v>
      </c>
      <c r="C42" t="str">
        <f t="shared" si="3"/>
        <v>4.525.030</v>
      </c>
      <c r="R42" t="s">
        <v>578</v>
      </c>
      <c r="S42" s="18">
        <v>1</v>
      </c>
      <c r="T42" s="14">
        <v>1053492</v>
      </c>
      <c r="U42" s="5">
        <v>101</v>
      </c>
      <c r="V42" s="15">
        <v>1.0149999999999999</v>
      </c>
      <c r="W42" s="5">
        <v>6</v>
      </c>
      <c r="X42" s="7">
        <v>2883.2217000000001</v>
      </c>
      <c r="Y42" s="17">
        <v>1053492</v>
      </c>
      <c r="Z42" s="14">
        <v>4341</v>
      </c>
      <c r="AA42" s="5">
        <v>554</v>
      </c>
      <c r="AB42" s="9">
        <v>4.2221488155581629E-3</v>
      </c>
      <c r="AC42" s="7">
        <v>0.52587015373633594</v>
      </c>
    </row>
    <row r="43" spans="1:29">
      <c r="A43" t="str">
        <v>Coyote vs Cat! (09.10.25)</v>
      </c>
      <c r="B43">
        <v>1220890</v>
      </c>
      <c r="C43" t="str">
        <f t="shared" si="3"/>
        <v>1.220.890</v>
      </c>
      <c r="R43" t="s">
        <v>627</v>
      </c>
      <c r="S43" s="18">
        <v>1</v>
      </c>
      <c r="T43" s="14">
        <v>30383</v>
      </c>
      <c r="U43" s="5">
        <v>20</v>
      </c>
      <c r="V43" s="15">
        <v>0.84270000000000012</v>
      </c>
      <c r="W43" s="5">
        <v>3</v>
      </c>
      <c r="X43" s="7">
        <v>110.9376</v>
      </c>
      <c r="Y43" s="17">
        <v>30383</v>
      </c>
      <c r="Z43" s="14">
        <v>666</v>
      </c>
      <c r="AA43" s="5">
        <v>58</v>
      </c>
      <c r="AB43" s="9">
        <v>2.2677154987986704E-2</v>
      </c>
      <c r="AC43" s="7">
        <v>1.9089622486258764</v>
      </c>
    </row>
    <row r="44" spans="1:29">
      <c r="A44" t="str">
        <v>Eagle Hunting vs Cat Hunting! (04.10.25)</v>
      </c>
      <c r="B44">
        <v>1180464</v>
      </c>
      <c r="C44" t="str">
        <f t="shared" si="3"/>
        <v>1.180.464</v>
      </c>
      <c r="R44" t="s">
        <v>654</v>
      </c>
      <c r="S44" s="18">
        <v>1</v>
      </c>
      <c r="T44" s="14">
        <v>13828</v>
      </c>
      <c r="U44" s="5">
        <v>12</v>
      </c>
      <c r="V44" s="15">
        <v>1.0304</v>
      </c>
      <c r="W44" s="5">
        <v>2</v>
      </c>
      <c r="X44" s="7">
        <v>32.484200000000001</v>
      </c>
      <c r="Y44" s="17">
        <v>13828</v>
      </c>
      <c r="Z44" s="14">
        <v>248</v>
      </c>
      <c r="AA44" s="5">
        <v>23</v>
      </c>
      <c r="AB44" s="9">
        <v>1.8947063928261499E-2</v>
      </c>
      <c r="AC44" s="7">
        <v>1.6632918715649407</v>
      </c>
    </row>
    <row r="45" spans="1:29">
      <c r="A45" t="str">
        <v>Cats Camouflage vs Other Animal Camouflage! (25.10.25)</v>
      </c>
      <c r="B45">
        <v>1053492</v>
      </c>
      <c r="C45" t="str">
        <f t="shared" si="3"/>
        <v>1.053.492</v>
      </c>
      <c r="R45" t="s">
        <v>584</v>
      </c>
      <c r="S45" s="18">
        <v>1</v>
      </c>
      <c r="T45" s="14">
        <v>38295</v>
      </c>
      <c r="U45" s="5">
        <v>78</v>
      </c>
      <c r="V45" s="15">
        <v>1.1305000000000001</v>
      </c>
      <c r="W45" s="5">
        <v>7</v>
      </c>
      <c r="X45" s="7">
        <v>92.764399999999995</v>
      </c>
      <c r="Y45" s="17">
        <v>38295</v>
      </c>
      <c r="Z45" s="14">
        <v>744</v>
      </c>
      <c r="AA45" s="5">
        <v>110</v>
      </c>
      <c r="AB45" s="9">
        <v>2.1647734691212953E-2</v>
      </c>
      <c r="AC45" s="7">
        <v>2.8724376550463506</v>
      </c>
    </row>
    <row r="46" spans="1:29">
      <c r="A46" t="str">
        <v>Cat is Not Afraid Of Horse! (14.11.25)</v>
      </c>
      <c r="B46">
        <v>1035157</v>
      </c>
      <c r="C46" t="str">
        <f t="shared" si="3"/>
        <v>1.035.157</v>
      </c>
      <c r="R46" t="s">
        <v>568</v>
      </c>
      <c r="S46" s="18">
        <v>1</v>
      </c>
      <c r="T46" s="14">
        <v>448417</v>
      </c>
      <c r="U46" s="5">
        <v>196</v>
      </c>
      <c r="V46" s="15">
        <v>1.0848</v>
      </c>
      <c r="W46" s="5">
        <v>26</v>
      </c>
      <c r="X46" s="7">
        <v>1508.5156999999999</v>
      </c>
      <c r="Y46" s="17">
        <v>448417</v>
      </c>
      <c r="Z46" s="14">
        <v>3897</v>
      </c>
      <c r="AA46" s="5">
        <v>935</v>
      </c>
      <c r="AB46" s="9">
        <v>9.1856463961000594E-3</v>
      </c>
      <c r="AC46" s="7">
        <v>2.0851127410423782</v>
      </c>
    </row>
    <row r="47" spans="1:29">
      <c r="A47" t="str">
        <v>Cats Cant Drift! (20.08.25)</v>
      </c>
      <c r="B47">
        <v>448417</v>
      </c>
      <c r="C47" t="str">
        <f t="shared" si="3"/>
        <v>448.417</v>
      </c>
      <c r="R47" t="s">
        <v>612</v>
      </c>
      <c r="S47" s="18">
        <v>1</v>
      </c>
      <c r="T47" s="14">
        <v>29263</v>
      </c>
      <c r="U47" s="5">
        <v>6</v>
      </c>
      <c r="V47" s="15">
        <v>0.99269999999999992</v>
      </c>
      <c r="W47" s="5">
        <v>4</v>
      </c>
      <c r="X47" s="7">
        <v>70.947400000000002</v>
      </c>
      <c r="Y47" s="17">
        <v>29263</v>
      </c>
      <c r="Z47" s="14">
        <v>464</v>
      </c>
      <c r="AA47" s="5">
        <v>57</v>
      </c>
      <c r="AB47" s="9">
        <v>1.6197929125516864E-2</v>
      </c>
      <c r="AC47" s="7">
        <v>1.9478522366127875</v>
      </c>
    </row>
    <row r="48" spans="1:29">
      <c r="A48" t="str">
        <v>Escape Master Cat! (30.10.25)</v>
      </c>
      <c r="B48">
        <v>252357</v>
      </c>
      <c r="C48" t="str">
        <f t="shared" si="3"/>
        <v>252.357</v>
      </c>
      <c r="R48" t="s">
        <v>621</v>
      </c>
      <c r="S48" s="18">
        <v>1</v>
      </c>
      <c r="T48" s="14">
        <v>22388</v>
      </c>
      <c r="U48" s="5">
        <v>5</v>
      </c>
      <c r="V48" s="15">
        <v>1.079</v>
      </c>
      <c r="W48" s="5">
        <v>5</v>
      </c>
      <c r="X48" s="7">
        <v>47.862200000000001</v>
      </c>
      <c r="Y48" s="17">
        <v>22388</v>
      </c>
      <c r="Z48" s="14">
        <v>399</v>
      </c>
      <c r="AA48" s="5">
        <v>84</v>
      </c>
      <c r="AB48" s="9">
        <v>1.8268715383241024E-2</v>
      </c>
      <c r="AC48" s="7">
        <v>3.7520100053600141</v>
      </c>
    </row>
    <row r="49" spans="1:29">
      <c r="A49" t="str">
        <v>Ranking Cats Being Powerless! (09.12.25)</v>
      </c>
      <c r="B49">
        <v>201821</v>
      </c>
      <c r="C49" t="str">
        <f t="shared" si="3"/>
        <v>201.821</v>
      </c>
      <c r="R49" t="s">
        <v>646</v>
      </c>
      <c r="S49" s="18">
        <v>1</v>
      </c>
      <c r="T49" s="14">
        <v>21342</v>
      </c>
      <c r="U49" s="5">
        <v>12</v>
      </c>
      <c r="V49" s="15">
        <v>0.91350000000000009</v>
      </c>
      <c r="W49" s="5">
        <v>1</v>
      </c>
      <c r="X49" s="7">
        <v>55.583799999999997</v>
      </c>
      <c r="Y49" s="17">
        <v>21342</v>
      </c>
      <c r="Z49" s="14">
        <v>409</v>
      </c>
      <c r="AA49" s="5">
        <v>28</v>
      </c>
      <c r="AB49" s="9">
        <v>1.9773217130540716E-2</v>
      </c>
      <c r="AC49" s="7">
        <v>1.3119670134008059</v>
      </c>
    </row>
    <row r="50" spans="1:29">
      <c r="R50" t="s">
        <v>638</v>
      </c>
      <c r="S50" s="18">
        <v>1</v>
      </c>
      <c r="T50" s="14">
        <v>19149</v>
      </c>
      <c r="U50" s="5">
        <v>13</v>
      </c>
      <c r="V50" s="15">
        <v>0.98430000000000006</v>
      </c>
      <c r="W50" s="5">
        <v>2</v>
      </c>
      <c r="X50" s="7">
        <v>49.484499999999997</v>
      </c>
      <c r="Y50" s="17">
        <v>19149</v>
      </c>
      <c r="Z50" s="14">
        <v>263</v>
      </c>
      <c r="AA50" s="5">
        <v>24</v>
      </c>
      <c r="AB50" s="9">
        <v>1.4517729385346493E-2</v>
      </c>
      <c r="AC50" s="7">
        <v>1.2533291555694814</v>
      </c>
    </row>
    <row r="51" spans="1:29">
      <c r="R51" t="s">
        <v>633</v>
      </c>
      <c r="S51" s="18">
        <v>1</v>
      </c>
      <c r="T51" s="14">
        <v>32976</v>
      </c>
      <c r="U51" s="5">
        <v>8</v>
      </c>
      <c r="V51" s="15">
        <v>1.0037</v>
      </c>
      <c r="W51" s="5">
        <v>6</v>
      </c>
      <c r="X51" s="7">
        <v>117.1798</v>
      </c>
      <c r="Y51" s="17">
        <v>32976</v>
      </c>
      <c r="Z51" s="14">
        <v>408</v>
      </c>
      <c r="AA51" s="5">
        <v>41</v>
      </c>
      <c r="AB51" s="9">
        <v>1.279718583212033E-2</v>
      </c>
      <c r="AC51" s="7">
        <v>1.2433284813197476</v>
      </c>
    </row>
    <row r="52" spans="1:29">
      <c r="R52" t="s">
        <v>652</v>
      </c>
      <c r="S52" s="18">
        <v>1</v>
      </c>
      <c r="T52" s="14">
        <v>40068</v>
      </c>
      <c r="U52" s="5">
        <v>7</v>
      </c>
      <c r="V52" s="15">
        <v>1.3171000000000002</v>
      </c>
      <c r="W52" s="5">
        <v>6</v>
      </c>
      <c r="X52" s="7">
        <v>109.1782</v>
      </c>
      <c r="Y52" s="17">
        <v>40068</v>
      </c>
      <c r="Z52" s="14">
        <v>380</v>
      </c>
      <c r="AA52" s="5">
        <v>39</v>
      </c>
      <c r="AB52" s="9">
        <v>9.8083258460616943E-3</v>
      </c>
      <c r="AC52" s="7">
        <v>0.97334531296795457</v>
      </c>
    </row>
    <row r="53" spans="1:29">
      <c r="R53" t="s">
        <v>644</v>
      </c>
      <c r="S53" s="18">
        <v>1</v>
      </c>
      <c r="T53" s="14">
        <v>34257</v>
      </c>
      <c r="U53" s="5">
        <v>14</v>
      </c>
      <c r="V53" s="15">
        <v>1.0122</v>
      </c>
      <c r="W53" s="5">
        <v>2</v>
      </c>
      <c r="X53" s="7">
        <v>95.465000000000003</v>
      </c>
      <c r="Y53" s="17">
        <v>34257</v>
      </c>
      <c r="Z53" s="14">
        <v>1010</v>
      </c>
      <c r="AA53" s="5">
        <v>158</v>
      </c>
      <c r="AB53" s="9">
        <v>2.9950083194675542E-2</v>
      </c>
      <c r="AC53" s="7">
        <v>4.6121960475231338</v>
      </c>
    </row>
    <row r="54" spans="1:29">
      <c r="R54" t="s">
        <v>648</v>
      </c>
      <c r="S54" s="18">
        <v>1</v>
      </c>
      <c r="T54" s="14">
        <v>32129</v>
      </c>
      <c r="U54" s="5">
        <v>6</v>
      </c>
      <c r="V54" s="15">
        <v>1.0361</v>
      </c>
      <c r="W54" s="5">
        <v>3</v>
      </c>
      <c r="X54" s="7">
        <v>91.470500000000001</v>
      </c>
      <c r="Y54" s="17">
        <v>32129</v>
      </c>
      <c r="Z54" s="14">
        <v>896</v>
      </c>
      <c r="AA54" s="5">
        <v>135</v>
      </c>
      <c r="AB54" s="9">
        <v>2.8167698963553176E-2</v>
      </c>
      <c r="AC54" s="7">
        <v>4.2018114476018544</v>
      </c>
    </row>
    <row r="55" spans="1:29">
      <c r="R55" t="s">
        <v>596</v>
      </c>
      <c r="S55" s="18">
        <v>1</v>
      </c>
      <c r="T55" s="14">
        <v>26843</v>
      </c>
      <c r="U55" s="5">
        <v>3</v>
      </c>
      <c r="V55" s="15">
        <v>1.0081</v>
      </c>
      <c r="W55" s="5">
        <v>9</v>
      </c>
      <c r="X55" s="7">
        <v>74.338499999999996</v>
      </c>
      <c r="Y55" s="17">
        <v>26843</v>
      </c>
      <c r="Z55" s="14">
        <v>436</v>
      </c>
      <c r="AA55" s="5">
        <v>57</v>
      </c>
      <c r="AB55" s="9">
        <v>1.6689639757106137E-2</v>
      </c>
      <c r="AC55" s="7">
        <v>2.1234586298103788</v>
      </c>
    </row>
    <row r="56" spans="1:29">
      <c r="R56" t="s">
        <v>665</v>
      </c>
      <c r="S56" s="18">
        <v>1</v>
      </c>
      <c r="T56" s="14">
        <v>31506</v>
      </c>
      <c r="U56" s="5">
        <v>5</v>
      </c>
      <c r="V56" s="15">
        <v>0.93519999999999992</v>
      </c>
      <c r="W56" s="5">
        <v>0</v>
      </c>
      <c r="X56" s="7">
        <v>115.2106</v>
      </c>
      <c r="Y56" s="17">
        <v>31506</v>
      </c>
      <c r="Z56" s="14">
        <v>243</v>
      </c>
      <c r="AA56" s="5">
        <v>31</v>
      </c>
      <c r="AB56" s="9">
        <v>7.8715165365327248E-3</v>
      </c>
      <c r="AC56" s="7">
        <v>0.98393956706659058</v>
      </c>
    </row>
    <row r="57" spans="1:29">
      <c r="R57" t="s">
        <v>626</v>
      </c>
      <c r="S57" s="18">
        <v>1</v>
      </c>
      <c r="T57" s="14">
        <v>23961</v>
      </c>
      <c r="U57" s="5">
        <v>21</v>
      </c>
      <c r="V57" s="15">
        <v>0.63770000000000004</v>
      </c>
      <c r="W57" s="5">
        <v>5</v>
      </c>
      <c r="X57" s="7">
        <v>124.31359999999999</v>
      </c>
      <c r="Y57" s="17">
        <v>23961</v>
      </c>
      <c r="Z57" s="14">
        <v>814</v>
      </c>
      <c r="AA57" s="5">
        <v>106</v>
      </c>
      <c r="AB57" s="9">
        <v>3.5056967572304996E-2</v>
      </c>
      <c r="AC57" s="7">
        <v>4.4238554317432497</v>
      </c>
    </row>
    <row r="58" spans="1:29">
      <c r="R58" t="s">
        <v>620</v>
      </c>
      <c r="S58" s="18">
        <v>1</v>
      </c>
      <c r="T58" s="14">
        <v>30268</v>
      </c>
      <c r="U58" s="5">
        <v>5</v>
      </c>
      <c r="V58" s="15">
        <v>1.0073999999999999</v>
      </c>
      <c r="W58" s="5">
        <v>1</v>
      </c>
      <c r="X58" s="7">
        <v>92.9148</v>
      </c>
      <c r="Y58" s="17">
        <v>30268</v>
      </c>
      <c r="Z58" s="14">
        <v>443</v>
      </c>
      <c r="AA58" s="5">
        <v>46</v>
      </c>
      <c r="AB58" s="9">
        <v>1.483414827540637E-2</v>
      </c>
      <c r="AC58" s="7">
        <v>1.5197568389057752</v>
      </c>
    </row>
    <row r="59" spans="1:29">
      <c r="R59" t="s">
        <v>579</v>
      </c>
      <c r="S59" s="18">
        <v>1</v>
      </c>
      <c r="T59" s="14">
        <v>1885</v>
      </c>
      <c r="U59" s="5">
        <v>4</v>
      </c>
      <c r="V59" s="15">
        <v>0.9294</v>
      </c>
      <c r="W59" s="5">
        <v>3</v>
      </c>
      <c r="X59" s="7">
        <v>5.7728000000000002</v>
      </c>
      <c r="Y59" s="17">
        <v>1885</v>
      </c>
      <c r="Z59" s="14">
        <v>36</v>
      </c>
      <c r="AA59" s="5">
        <v>1</v>
      </c>
      <c r="AB59" s="9">
        <v>2.2811671087533156E-2</v>
      </c>
      <c r="AC59" s="7">
        <v>0.53050397877984079</v>
      </c>
    </row>
    <row r="60" spans="1:29">
      <c r="R60" t="s">
        <v>640</v>
      </c>
      <c r="S60" s="18">
        <v>1</v>
      </c>
      <c r="T60" s="14">
        <v>24822</v>
      </c>
      <c r="U60" s="5">
        <v>11</v>
      </c>
      <c r="V60" s="15">
        <v>0.79250000000000009</v>
      </c>
      <c r="W60" s="5">
        <v>3</v>
      </c>
      <c r="X60" s="7">
        <v>89.173400000000001</v>
      </c>
      <c r="Y60" s="17">
        <v>24822</v>
      </c>
      <c r="Z60" s="14">
        <v>351</v>
      </c>
      <c r="AA60" s="5">
        <v>16</v>
      </c>
      <c r="AB60" s="9">
        <v>1.4704697445814197E-2</v>
      </c>
      <c r="AC60" s="7">
        <v>0.64458947707678671</v>
      </c>
    </row>
    <row r="61" spans="1:29">
      <c r="R61" t="s">
        <v>592</v>
      </c>
      <c r="S61" s="18">
        <v>1</v>
      </c>
      <c r="T61" s="14">
        <v>20670</v>
      </c>
      <c r="U61" s="5">
        <v>27</v>
      </c>
      <c r="V61" s="15">
        <v>1</v>
      </c>
      <c r="W61" s="5">
        <v>12</v>
      </c>
      <c r="X61" s="7">
        <v>43.718299999999999</v>
      </c>
      <c r="Y61" s="17">
        <v>20670</v>
      </c>
      <c r="Z61" s="14">
        <v>606</v>
      </c>
      <c r="AA61" s="5">
        <v>52</v>
      </c>
      <c r="AB61" s="9">
        <v>3.1204644412191583E-2</v>
      </c>
      <c r="AC61" s="7">
        <v>2.5157232704402515</v>
      </c>
    </row>
    <row r="62" spans="1:29">
      <c r="R62" t="s">
        <v>585</v>
      </c>
      <c r="S62" s="18">
        <v>1</v>
      </c>
      <c r="T62" s="14">
        <v>7539</v>
      </c>
      <c r="U62" s="5">
        <v>9</v>
      </c>
      <c r="V62" s="15">
        <v>0.7390000000000001</v>
      </c>
      <c r="W62" s="5">
        <v>6</v>
      </c>
      <c r="X62" s="7">
        <v>28.228000000000002</v>
      </c>
      <c r="Y62" s="17">
        <v>7539</v>
      </c>
      <c r="Z62" s="14">
        <v>149</v>
      </c>
      <c r="AA62" s="5">
        <v>6</v>
      </c>
      <c r="AB62" s="9">
        <v>2.175354821594376E-2</v>
      </c>
      <c r="AC62" s="7">
        <v>0.79586152009550337</v>
      </c>
    </row>
    <row r="63" spans="1:29">
      <c r="R63" t="s">
        <v>641</v>
      </c>
      <c r="S63" s="18">
        <v>1</v>
      </c>
      <c r="T63" s="14">
        <v>32920</v>
      </c>
      <c r="U63" s="5">
        <v>10</v>
      </c>
      <c r="V63" s="15">
        <v>0.83779999999999999</v>
      </c>
      <c r="W63" s="5">
        <v>1</v>
      </c>
      <c r="X63" s="7">
        <v>130.04929999999999</v>
      </c>
      <c r="Y63" s="17">
        <v>32920</v>
      </c>
      <c r="Z63" s="14">
        <v>723</v>
      </c>
      <c r="AA63" s="5">
        <v>25</v>
      </c>
      <c r="AB63" s="9">
        <v>2.2296476306196841E-2</v>
      </c>
      <c r="AC63" s="7">
        <v>0.75941676792223578</v>
      </c>
    </row>
    <row r="64" spans="1:29">
      <c r="R64" t="s">
        <v>631</v>
      </c>
      <c r="S64" s="18">
        <v>1</v>
      </c>
      <c r="T64" s="14">
        <v>10790</v>
      </c>
      <c r="U64" s="5">
        <v>8</v>
      </c>
      <c r="V64" s="15">
        <v>0.78400000000000003</v>
      </c>
      <c r="W64" s="5">
        <v>6</v>
      </c>
      <c r="X64" s="7">
        <v>32.324399999999997</v>
      </c>
      <c r="Y64" s="17">
        <v>10790</v>
      </c>
      <c r="Z64" s="14">
        <v>237</v>
      </c>
      <c r="AA64" s="5">
        <v>23</v>
      </c>
      <c r="AB64" s="9">
        <v>2.3262279888785913E-2</v>
      </c>
      <c r="AC64" s="7">
        <v>2.1316033364226135</v>
      </c>
    </row>
    <row r="65" spans="18:29">
      <c r="R65" t="s">
        <v>619</v>
      </c>
      <c r="S65" s="18">
        <v>1</v>
      </c>
      <c r="T65" s="14">
        <v>17021</v>
      </c>
      <c r="U65" s="5">
        <v>9</v>
      </c>
      <c r="V65" s="15">
        <v>0.89260000000000006</v>
      </c>
      <c r="W65" s="5">
        <v>24</v>
      </c>
      <c r="X65" s="7">
        <v>36.571300000000001</v>
      </c>
      <c r="Y65" s="17">
        <v>17021</v>
      </c>
      <c r="Z65" s="14">
        <v>538</v>
      </c>
      <c r="AA65" s="5">
        <v>76</v>
      </c>
      <c r="AB65" s="9">
        <v>3.354679513542095E-2</v>
      </c>
      <c r="AC65" s="7">
        <v>4.4650725574290586</v>
      </c>
    </row>
    <row r="66" spans="18:29">
      <c r="R66" t="s">
        <v>599</v>
      </c>
      <c r="S66" s="18">
        <v>1</v>
      </c>
      <c r="T66" s="14">
        <v>160614</v>
      </c>
      <c r="U66" s="5">
        <v>33</v>
      </c>
      <c r="V66" s="15">
        <v>0.93720000000000003</v>
      </c>
      <c r="W66" s="5">
        <v>19</v>
      </c>
      <c r="X66" s="7">
        <v>440.41559999999998</v>
      </c>
      <c r="Y66" s="17">
        <v>160614</v>
      </c>
      <c r="Z66" s="14">
        <v>1961</v>
      </c>
      <c r="AA66" s="5">
        <v>95</v>
      </c>
      <c r="AB66" s="9">
        <v>1.2533154021442713E-2</v>
      </c>
      <c r="AC66" s="7">
        <v>0.5914801947526368</v>
      </c>
    </row>
    <row r="67" spans="18:29">
      <c r="R67" t="s">
        <v>698</v>
      </c>
      <c r="S67" s="18">
        <v>1</v>
      </c>
      <c r="T67" s="14">
        <v>17395</v>
      </c>
      <c r="U67" s="5">
        <v>0</v>
      </c>
      <c r="V67" s="15">
        <v>0.89760000000000006</v>
      </c>
      <c r="W67" s="5">
        <v>0</v>
      </c>
      <c r="X67" s="7">
        <v>42.854100000000003</v>
      </c>
      <c r="Y67" s="17">
        <v>17395</v>
      </c>
      <c r="Z67" s="14">
        <v>160</v>
      </c>
      <c r="AA67" s="5">
        <v>6</v>
      </c>
      <c r="AB67" s="9">
        <v>9.1980454153492378E-3</v>
      </c>
      <c r="AC67" s="7">
        <v>0.34492670307559647</v>
      </c>
    </row>
    <row r="68" spans="18:29">
      <c r="R68" t="s">
        <v>590</v>
      </c>
      <c r="S68" s="18">
        <v>1</v>
      </c>
      <c r="T68" s="14">
        <v>1220890</v>
      </c>
      <c r="U68" s="5">
        <v>50</v>
      </c>
      <c r="V68" s="15">
        <v>0.77200000000000002</v>
      </c>
      <c r="W68" s="5">
        <v>17</v>
      </c>
      <c r="X68" s="7">
        <v>4073.3757999999998</v>
      </c>
      <c r="Y68" s="17">
        <v>1220890</v>
      </c>
      <c r="Z68" s="14">
        <v>10580</v>
      </c>
      <c r="AA68" s="5">
        <v>390</v>
      </c>
      <c r="AB68" s="9">
        <v>8.720687367412298E-3</v>
      </c>
      <c r="AC68" s="7">
        <v>0.31943909770741019</v>
      </c>
    </row>
    <row r="69" spans="18:29">
      <c r="R69" t="s">
        <v>695</v>
      </c>
      <c r="S69" s="18">
        <v>1</v>
      </c>
      <c r="T69" s="14">
        <v>23315</v>
      </c>
      <c r="U69" s="5">
        <v>1</v>
      </c>
      <c r="V69" s="15">
        <v>0.86409999999999998</v>
      </c>
      <c r="W69" s="5">
        <v>0</v>
      </c>
      <c r="X69" s="7">
        <v>56.052399999999999</v>
      </c>
      <c r="Y69" s="17">
        <v>23315</v>
      </c>
      <c r="Z69" s="14">
        <v>206</v>
      </c>
      <c r="AA69" s="5">
        <v>15</v>
      </c>
      <c r="AB69" s="9">
        <v>8.8784044606476514E-3</v>
      </c>
      <c r="AC69" s="7">
        <v>0.64336264207591687</v>
      </c>
    </row>
    <row r="70" spans="18:29">
      <c r="R70" t="s">
        <v>689</v>
      </c>
      <c r="S70" s="18">
        <v>1</v>
      </c>
      <c r="T70" s="14">
        <v>33703</v>
      </c>
      <c r="U70" s="5">
        <v>7</v>
      </c>
      <c r="V70" s="15">
        <v>0.88269999999999993</v>
      </c>
      <c r="W70" s="5">
        <v>1</v>
      </c>
      <c r="X70" s="7">
        <v>85.163399999999996</v>
      </c>
      <c r="Y70" s="17">
        <v>33703</v>
      </c>
      <c r="Z70" s="14">
        <v>431</v>
      </c>
      <c r="AA70" s="5">
        <v>15</v>
      </c>
      <c r="AB70" s="9">
        <v>1.3025546687238525E-2</v>
      </c>
      <c r="AC70" s="7">
        <v>0.445064237604961</v>
      </c>
    </row>
    <row r="71" spans="18:29">
      <c r="R71" t="s">
        <v>674</v>
      </c>
      <c r="S71" s="18">
        <v>1</v>
      </c>
      <c r="T71" s="14">
        <v>28520</v>
      </c>
      <c r="U71" s="5">
        <v>4</v>
      </c>
      <c r="V71" s="15">
        <v>0.96920000000000006</v>
      </c>
      <c r="W71" s="5">
        <v>4</v>
      </c>
      <c r="X71" s="7">
        <v>85.729799999999997</v>
      </c>
      <c r="Y71" s="17">
        <v>28520</v>
      </c>
      <c r="Z71" s="14">
        <v>325</v>
      </c>
      <c r="AA71" s="5">
        <v>30</v>
      </c>
      <c r="AB71" s="9">
        <v>1.167601683029453E-2</v>
      </c>
      <c r="AC71" s="7">
        <v>1.0518934081346423</v>
      </c>
    </row>
    <row r="72" spans="18:29">
      <c r="R72" t="s">
        <v>706</v>
      </c>
      <c r="S72" s="18">
        <v>1</v>
      </c>
      <c r="T72" s="14">
        <v>22066</v>
      </c>
      <c r="U72" s="5">
        <v>0</v>
      </c>
      <c r="V72" s="15">
        <v>0.92620000000000002</v>
      </c>
      <c r="W72" s="5">
        <v>1</v>
      </c>
      <c r="X72" s="7">
        <v>60.417099999999998</v>
      </c>
      <c r="Y72" s="17">
        <v>22066</v>
      </c>
      <c r="Z72" s="14">
        <v>355</v>
      </c>
      <c r="AA72" s="5">
        <v>15</v>
      </c>
      <c r="AB72" s="9">
        <v>1.6133417928034081E-2</v>
      </c>
      <c r="AC72" s="7">
        <v>0.67977884528233479</v>
      </c>
    </row>
    <row r="73" spans="18:29">
      <c r="R73" t="s">
        <v>650</v>
      </c>
      <c r="S73" s="18">
        <v>1</v>
      </c>
      <c r="T73" s="14">
        <v>20410</v>
      </c>
      <c r="U73" s="5">
        <v>3</v>
      </c>
      <c r="V73" s="15">
        <v>1.0168999999999999</v>
      </c>
      <c r="W73" s="5">
        <v>1</v>
      </c>
      <c r="X73" s="7">
        <v>49.241700000000002</v>
      </c>
      <c r="Y73" s="17">
        <v>20410</v>
      </c>
      <c r="Z73" s="14">
        <v>345</v>
      </c>
      <c r="AA73" s="5">
        <v>35</v>
      </c>
      <c r="AB73" s="9">
        <v>1.7099461048505633E-2</v>
      </c>
      <c r="AC73" s="7">
        <v>1.7148456638902498</v>
      </c>
    </row>
    <row r="74" spans="18:29">
      <c r="R74" t="s">
        <v>697</v>
      </c>
      <c r="S74" s="18">
        <v>1</v>
      </c>
      <c r="T74" s="14">
        <v>33071</v>
      </c>
      <c r="U74" s="5">
        <v>0</v>
      </c>
      <c r="V74" s="15">
        <v>0.93819999999999992</v>
      </c>
      <c r="W74" s="5">
        <v>1</v>
      </c>
      <c r="X74" s="7">
        <v>82.963700000000003</v>
      </c>
      <c r="Y74" s="17">
        <v>33071</v>
      </c>
      <c r="Z74" s="14">
        <v>288</v>
      </c>
      <c r="AA74" s="5">
        <v>11</v>
      </c>
      <c r="AB74" s="9">
        <v>8.7387741525808103E-3</v>
      </c>
      <c r="AC74" s="7">
        <v>0.33261770130930418</v>
      </c>
    </row>
    <row r="75" spans="18:29">
      <c r="R75" t="s">
        <v>574</v>
      </c>
      <c r="S75" s="18">
        <v>1</v>
      </c>
      <c r="T75" s="14">
        <v>1180464</v>
      </c>
      <c r="U75" s="5">
        <v>131</v>
      </c>
      <c r="V75" s="15">
        <v>0.99920000000000009</v>
      </c>
      <c r="W75" s="5">
        <v>46</v>
      </c>
      <c r="X75" s="7">
        <v>3123.7289999999998</v>
      </c>
      <c r="Y75" s="17">
        <v>1180464</v>
      </c>
      <c r="Z75" s="14">
        <v>9869</v>
      </c>
      <c r="AA75" s="5">
        <v>562</v>
      </c>
      <c r="AB75" s="9">
        <v>8.5102129332194805E-3</v>
      </c>
      <c r="AC75" s="7">
        <v>0.476083980536467</v>
      </c>
    </row>
    <row r="76" spans="18:29">
      <c r="R76" t="s">
        <v>671</v>
      </c>
      <c r="S76" s="18">
        <v>1</v>
      </c>
      <c r="T76" s="14">
        <v>33590</v>
      </c>
      <c r="U76" s="5">
        <v>1</v>
      </c>
      <c r="V76" s="15">
        <v>0.97400000000000009</v>
      </c>
      <c r="W76" s="5">
        <v>3</v>
      </c>
      <c r="X76" s="7">
        <v>99.583799999999997</v>
      </c>
      <c r="Y76" s="17">
        <v>33590</v>
      </c>
      <c r="Z76" s="14">
        <v>399</v>
      </c>
      <c r="AA76" s="5">
        <v>20</v>
      </c>
      <c r="AB76" s="9">
        <v>1.1997618338791307E-2</v>
      </c>
      <c r="AC76" s="7">
        <v>0.59541530217326588</v>
      </c>
    </row>
    <row r="77" spans="18:29">
      <c r="R77" t="s">
        <v>660</v>
      </c>
      <c r="S77" s="18">
        <v>1</v>
      </c>
      <c r="T77" s="14">
        <v>50611</v>
      </c>
      <c r="U77" s="5">
        <v>2</v>
      </c>
      <c r="V77" s="15">
        <v>1.1604000000000001</v>
      </c>
      <c r="W77" s="5">
        <v>1</v>
      </c>
      <c r="X77" s="7">
        <v>139.33189999999999</v>
      </c>
      <c r="Y77" s="17">
        <v>50611</v>
      </c>
      <c r="Z77" s="14">
        <v>527</v>
      </c>
      <c r="AA77" s="5">
        <v>30</v>
      </c>
      <c r="AB77" s="9">
        <v>1.0472031771749225E-2</v>
      </c>
      <c r="AC77" s="7">
        <v>0.59275651538203156</v>
      </c>
    </row>
    <row r="78" spans="18:29">
      <c r="R78" t="s">
        <v>651</v>
      </c>
      <c r="S78" s="18">
        <v>1</v>
      </c>
      <c r="T78" s="14">
        <v>252357</v>
      </c>
      <c r="U78" s="5">
        <v>13</v>
      </c>
      <c r="V78" s="15">
        <v>0.8669</v>
      </c>
      <c r="W78" s="5">
        <v>2</v>
      </c>
      <c r="X78" s="7">
        <v>629.17610000000002</v>
      </c>
      <c r="Y78" s="17">
        <v>252357</v>
      </c>
      <c r="Z78" s="14">
        <v>2071</v>
      </c>
      <c r="AA78" s="5">
        <v>89</v>
      </c>
      <c r="AB78" s="9">
        <v>8.2660675154642028E-3</v>
      </c>
      <c r="AC78" s="7">
        <v>0.35267498028586486</v>
      </c>
    </row>
    <row r="79" spans="18:29">
      <c r="R79" t="s">
        <v>586</v>
      </c>
      <c r="S79" s="18">
        <v>1</v>
      </c>
      <c r="T79" s="14">
        <v>18693</v>
      </c>
      <c r="U79" s="5">
        <v>75</v>
      </c>
      <c r="V79" s="15">
        <v>0.59489999999999998</v>
      </c>
      <c r="W79" s="5">
        <v>15</v>
      </c>
      <c r="X79" s="7">
        <v>62.2012</v>
      </c>
      <c r="Y79" s="17">
        <v>18693</v>
      </c>
      <c r="Z79" s="14">
        <v>1177</v>
      </c>
      <c r="AA79" s="5">
        <v>112</v>
      </c>
      <c r="AB79" s="9">
        <v>6.7779382656609433E-2</v>
      </c>
      <c r="AC79" s="7">
        <v>5.9915476381533193</v>
      </c>
    </row>
    <row r="80" spans="18:29">
      <c r="R80" t="s">
        <v>562</v>
      </c>
      <c r="S80" s="18">
        <v>1</v>
      </c>
      <c r="T80" s="14">
        <v>9245082</v>
      </c>
      <c r="U80" s="5">
        <v>7685</v>
      </c>
      <c r="V80" s="15">
        <v>0.97470000000000001</v>
      </c>
      <c r="W80" s="5">
        <v>897</v>
      </c>
      <c r="X80" s="7">
        <v>26190.434099999999</v>
      </c>
      <c r="Y80" s="17">
        <v>9245082</v>
      </c>
      <c r="Z80" s="14">
        <v>136208</v>
      </c>
      <c r="AA80" s="5">
        <v>24182</v>
      </c>
      <c r="AB80" s="9">
        <v>1.566129970507563E-2</v>
      </c>
      <c r="AC80" s="7">
        <v>2.6156609535751008</v>
      </c>
    </row>
    <row r="81" spans="18:29">
      <c r="R81" t="s">
        <v>692</v>
      </c>
      <c r="S81" s="18">
        <v>1</v>
      </c>
      <c r="T81" s="14">
        <v>39377</v>
      </c>
      <c r="U81" s="5">
        <v>3</v>
      </c>
      <c r="V81" s="15">
        <v>0.98059999999999992</v>
      </c>
      <c r="W81" s="5">
        <v>0</v>
      </c>
      <c r="X81" s="7">
        <v>104.54470000000001</v>
      </c>
      <c r="Y81" s="17">
        <v>39377</v>
      </c>
      <c r="Z81" s="14">
        <v>340</v>
      </c>
      <c r="AA81" s="5">
        <v>19</v>
      </c>
      <c r="AB81" s="9">
        <v>8.7106686644487907E-3</v>
      </c>
      <c r="AC81" s="7">
        <v>0.48251517383244025</v>
      </c>
    </row>
    <row r="82" spans="18:29">
      <c r="R82" t="s">
        <v>678</v>
      </c>
      <c r="S82" s="18">
        <v>1</v>
      </c>
      <c r="T82" s="14">
        <v>53140</v>
      </c>
      <c r="U82" s="5">
        <v>7</v>
      </c>
      <c r="V82" s="15">
        <v>1.0622</v>
      </c>
      <c r="W82" s="5">
        <v>2</v>
      </c>
      <c r="X82" s="7">
        <v>156.24600000000001</v>
      </c>
      <c r="Y82" s="17">
        <v>53140</v>
      </c>
      <c r="Z82" s="14">
        <v>729</v>
      </c>
      <c r="AA82" s="5">
        <v>34</v>
      </c>
      <c r="AB82" s="9">
        <v>1.3887843432442605E-2</v>
      </c>
      <c r="AC82" s="7">
        <v>0.63981934512608207</v>
      </c>
    </row>
    <row r="83" spans="18:29">
      <c r="R83" t="s">
        <v>567</v>
      </c>
      <c r="S83" s="18">
        <v>1</v>
      </c>
      <c r="T83" s="14">
        <v>1363</v>
      </c>
      <c r="U83" s="5">
        <v>2</v>
      </c>
      <c r="V83" s="15">
        <v>0.81079999999999997</v>
      </c>
      <c r="W83" s="5">
        <v>4</v>
      </c>
      <c r="X83" s="7">
        <v>5.1050000000000004</v>
      </c>
      <c r="Y83" s="17">
        <v>1363</v>
      </c>
      <c r="Z83" s="14">
        <v>36</v>
      </c>
      <c r="AA83" s="5">
        <v>2</v>
      </c>
      <c r="AB83" s="9">
        <v>3.0814380044020543E-2</v>
      </c>
      <c r="AC83" s="7">
        <v>1.467351430667645</v>
      </c>
    </row>
    <row r="84" spans="18:29">
      <c r="R84" t="s">
        <v>611</v>
      </c>
      <c r="S84" s="18">
        <v>1</v>
      </c>
      <c r="T84" s="14">
        <v>31710</v>
      </c>
      <c r="U84" s="5">
        <v>19</v>
      </c>
      <c r="V84" s="15">
        <v>1.0099</v>
      </c>
      <c r="W84" s="5">
        <v>2</v>
      </c>
      <c r="X84" s="7">
        <v>89.801900000000003</v>
      </c>
      <c r="Y84" s="17">
        <v>31710</v>
      </c>
      <c r="Z84" s="14">
        <v>733</v>
      </c>
      <c r="AA84" s="5">
        <v>156</v>
      </c>
      <c r="AB84" s="9">
        <v>2.3777988016398612E-2</v>
      </c>
      <c r="AC84" s="7">
        <v>4.919583727530747</v>
      </c>
    </row>
    <row r="85" spans="18:29">
      <c r="R85" t="s">
        <v>686</v>
      </c>
      <c r="S85" s="18">
        <v>1</v>
      </c>
      <c r="T85" s="14">
        <v>20409</v>
      </c>
      <c r="U85" s="5">
        <v>1</v>
      </c>
      <c r="V85" s="15">
        <v>0.95739999999999981</v>
      </c>
      <c r="W85" s="5">
        <v>1</v>
      </c>
      <c r="X85" s="7">
        <v>47.665599999999998</v>
      </c>
      <c r="Y85" s="17">
        <v>20409</v>
      </c>
      <c r="Z85" s="14">
        <v>164</v>
      </c>
      <c r="AA85" s="5">
        <v>9</v>
      </c>
      <c r="AB85" s="9">
        <v>8.1336665196726932E-3</v>
      </c>
      <c r="AC85" s="7">
        <v>0.44098191974129064</v>
      </c>
    </row>
    <row r="86" spans="18:29">
      <c r="R86" t="s">
        <v>677</v>
      </c>
      <c r="S86" s="18">
        <v>1</v>
      </c>
      <c r="T86" s="14">
        <v>74839</v>
      </c>
      <c r="U86" s="5">
        <v>4</v>
      </c>
      <c r="V86" s="15">
        <v>0.86599999999999999</v>
      </c>
      <c r="W86" s="5">
        <v>2</v>
      </c>
      <c r="X86" s="7">
        <v>195.95240000000001</v>
      </c>
      <c r="Y86" s="17">
        <v>74839</v>
      </c>
      <c r="Z86" s="14">
        <v>746</v>
      </c>
      <c r="AA86" s="5">
        <v>46</v>
      </c>
      <c r="AB86" s="9">
        <v>1.0048236881839683E-2</v>
      </c>
      <c r="AC86" s="7">
        <v>0.61465278798487422</v>
      </c>
    </row>
    <row r="87" spans="18:29">
      <c r="R87" t="s">
        <v>681</v>
      </c>
      <c r="S87" s="18">
        <v>1</v>
      </c>
      <c r="T87" s="14">
        <v>30386</v>
      </c>
      <c r="U87" s="5">
        <v>2</v>
      </c>
      <c r="V87" s="15">
        <v>0.90969999999999995</v>
      </c>
      <c r="W87" s="5">
        <v>3</v>
      </c>
      <c r="X87" s="7">
        <v>78.634500000000003</v>
      </c>
      <c r="Y87" s="17">
        <v>30386</v>
      </c>
      <c r="Z87" s="14">
        <v>189</v>
      </c>
      <c r="AA87" s="5">
        <v>10</v>
      </c>
      <c r="AB87" s="9">
        <v>6.3845191864674525E-3</v>
      </c>
      <c r="AC87" s="7">
        <v>0.3290989271374975</v>
      </c>
    </row>
    <row r="88" spans="18:29">
      <c r="R88" t="s">
        <v>608</v>
      </c>
      <c r="S88" s="18">
        <v>1</v>
      </c>
      <c r="T88" s="14">
        <v>119492</v>
      </c>
      <c r="U88" s="5">
        <v>27</v>
      </c>
      <c r="V88" s="15">
        <v>0.97430000000000005</v>
      </c>
      <c r="W88" s="5">
        <v>3</v>
      </c>
      <c r="X88" s="7">
        <v>300.19009999999997</v>
      </c>
      <c r="Y88" s="17">
        <v>119492</v>
      </c>
      <c r="Z88" s="14">
        <v>1250</v>
      </c>
      <c r="AA88" s="5">
        <v>99</v>
      </c>
      <c r="AB88" s="9">
        <v>1.0712014193418806E-2</v>
      </c>
      <c r="AC88" s="7">
        <v>0.82850734777223589</v>
      </c>
    </row>
    <row r="89" spans="18:29">
      <c r="R89" t="s">
        <v>663</v>
      </c>
      <c r="S89" s="18">
        <v>1</v>
      </c>
      <c r="T89" s="14">
        <v>2457</v>
      </c>
      <c r="U89" s="5">
        <v>0</v>
      </c>
      <c r="V89" s="15">
        <v>0.34689999999999999</v>
      </c>
      <c r="W89" s="5">
        <v>0</v>
      </c>
      <c r="X89" s="7">
        <v>6.1914999999999996</v>
      </c>
      <c r="Y89" s="17">
        <v>2457</v>
      </c>
      <c r="Z89" s="14">
        <v>54</v>
      </c>
      <c r="AA89" s="5">
        <v>5</v>
      </c>
      <c r="AB89" s="9">
        <v>2.197802197802198E-2</v>
      </c>
      <c r="AC89" s="7">
        <v>2.035002035002035</v>
      </c>
    </row>
    <row r="90" spans="18:29">
      <c r="R90" t="s">
        <v>571</v>
      </c>
      <c r="S90" s="18">
        <v>1</v>
      </c>
      <c r="T90" s="14">
        <v>1517</v>
      </c>
      <c r="U90" s="5">
        <v>0</v>
      </c>
      <c r="V90" s="15">
        <v>0.87939999999999996</v>
      </c>
      <c r="W90" s="5">
        <v>6</v>
      </c>
      <c r="X90" s="7">
        <v>4.1623999999999999</v>
      </c>
      <c r="Y90" s="17">
        <v>1517</v>
      </c>
      <c r="Z90" s="14">
        <v>27</v>
      </c>
      <c r="AA90" s="5">
        <v>2</v>
      </c>
      <c r="AB90" s="9">
        <v>2.1753460777851022E-2</v>
      </c>
      <c r="AC90" s="7">
        <v>1.3183915622940012</v>
      </c>
    </row>
    <row r="91" spans="18:29">
      <c r="R91" t="s">
        <v>659</v>
      </c>
      <c r="S91" s="18">
        <v>1</v>
      </c>
      <c r="T91" s="14">
        <v>5151</v>
      </c>
      <c r="U91" s="5">
        <v>11</v>
      </c>
      <c r="V91" s="15">
        <v>0.69739999999999991</v>
      </c>
      <c r="W91" s="5">
        <v>2</v>
      </c>
      <c r="X91" s="7">
        <v>22.791499999999999</v>
      </c>
      <c r="Y91" s="17">
        <v>5151</v>
      </c>
      <c r="Z91" s="14">
        <v>92</v>
      </c>
      <c r="AA91" s="5">
        <v>5</v>
      </c>
      <c r="AB91" s="9">
        <v>2.03843913803145E-2</v>
      </c>
      <c r="AC91" s="7">
        <v>0.97068530382450002</v>
      </c>
    </row>
    <row r="92" spans="18:29">
      <c r="R92" t="s">
        <v>668</v>
      </c>
      <c r="S92" s="18">
        <v>1</v>
      </c>
      <c r="T92" s="14">
        <v>12263</v>
      </c>
      <c r="U92" s="5">
        <v>10</v>
      </c>
      <c r="V92" s="15">
        <v>0.75620000000000021</v>
      </c>
      <c r="W92" s="5">
        <v>2</v>
      </c>
      <c r="X92" s="7">
        <v>43.4773</v>
      </c>
      <c r="Y92" s="17">
        <v>12263</v>
      </c>
      <c r="Z92" s="14">
        <v>184</v>
      </c>
      <c r="AA92" s="5">
        <v>10</v>
      </c>
      <c r="AB92" s="9">
        <v>1.5983038408219848E-2</v>
      </c>
      <c r="AC92" s="7">
        <v>0.81546114327652286</v>
      </c>
    </row>
    <row r="93" spans="18:29">
      <c r="R93" t="s">
        <v>572</v>
      </c>
      <c r="S93" s="18">
        <v>1</v>
      </c>
      <c r="T93" s="14">
        <v>29793</v>
      </c>
      <c r="U93" s="5">
        <v>136</v>
      </c>
      <c r="V93" s="15">
        <v>0.82799999999999996</v>
      </c>
      <c r="W93" s="5">
        <v>7</v>
      </c>
      <c r="X93" s="7">
        <v>96.983099999999993</v>
      </c>
      <c r="Y93" s="17">
        <v>29793</v>
      </c>
      <c r="Z93" s="14">
        <v>4614</v>
      </c>
      <c r="AA93" s="5">
        <v>52</v>
      </c>
      <c r="AB93" s="9">
        <v>0.15966837847816601</v>
      </c>
      <c r="AC93" s="7">
        <v>1.7453764307051993</v>
      </c>
    </row>
    <row r="94" spans="18:29">
      <c r="R94" t="s">
        <v>636</v>
      </c>
      <c r="S94" s="18">
        <v>1</v>
      </c>
      <c r="T94" s="14">
        <v>29871</v>
      </c>
      <c r="U94" s="5">
        <v>18</v>
      </c>
      <c r="V94" s="15">
        <v>1.0012000000000001</v>
      </c>
      <c r="W94" s="5">
        <v>3</v>
      </c>
      <c r="X94" s="7">
        <v>93.766800000000003</v>
      </c>
      <c r="Y94" s="17">
        <v>29871</v>
      </c>
      <c r="Z94" s="14">
        <v>617</v>
      </c>
      <c r="AA94" s="5">
        <v>23</v>
      </c>
      <c r="AB94" s="9">
        <v>2.1358508252150916E-2</v>
      </c>
      <c r="AC94" s="7">
        <v>0.76997757021860658</v>
      </c>
    </row>
    <row r="95" spans="18:29">
      <c r="R95" t="s">
        <v>642</v>
      </c>
      <c r="S95" s="18">
        <v>1</v>
      </c>
      <c r="T95" s="14">
        <v>28992</v>
      </c>
      <c r="U95" s="5">
        <v>15</v>
      </c>
      <c r="V95" s="15">
        <v>0.91900000000000004</v>
      </c>
      <c r="W95" s="5">
        <v>3</v>
      </c>
      <c r="X95" s="7">
        <v>82.167000000000002</v>
      </c>
      <c r="Y95" s="17">
        <v>28992</v>
      </c>
      <c r="Z95" s="14">
        <v>538</v>
      </c>
      <c r="AA95" s="5">
        <v>27</v>
      </c>
      <c r="AB95" s="9">
        <v>1.9177704194260486E-2</v>
      </c>
      <c r="AC95" s="7">
        <v>0.93129139072847678</v>
      </c>
    </row>
    <row r="96" spans="18:29">
      <c r="R96" t="s">
        <v>691</v>
      </c>
      <c r="S96" s="18">
        <v>1</v>
      </c>
      <c r="T96" s="14">
        <v>16283</v>
      </c>
      <c r="U96" s="5">
        <v>7</v>
      </c>
      <c r="V96" s="15">
        <v>0.77</v>
      </c>
      <c r="W96" s="5">
        <v>1</v>
      </c>
      <c r="X96" s="7">
        <v>38.1935</v>
      </c>
      <c r="Y96" s="17">
        <v>16283</v>
      </c>
      <c r="Z96" s="14">
        <v>240</v>
      </c>
      <c r="AA96" s="5">
        <v>10</v>
      </c>
      <c r="AB96" s="9">
        <v>1.5230608610206964E-2</v>
      </c>
      <c r="AC96" s="7">
        <v>0.61413744395995828</v>
      </c>
    </row>
    <row r="97" spans="18:29">
      <c r="R97" t="s">
        <v>580</v>
      </c>
      <c r="S97" s="18">
        <v>1</v>
      </c>
      <c r="T97" s="14">
        <v>39788</v>
      </c>
      <c r="U97" s="5">
        <v>98</v>
      </c>
      <c r="V97" s="15">
        <v>0.88280000000000003</v>
      </c>
      <c r="W97" s="5">
        <v>8</v>
      </c>
      <c r="X97" s="7">
        <v>150.18610000000001</v>
      </c>
      <c r="Y97" s="17">
        <v>39788</v>
      </c>
      <c r="Z97" s="14">
        <v>1792</v>
      </c>
      <c r="AA97" s="5">
        <v>64</v>
      </c>
      <c r="AB97" s="9">
        <v>4.7702824972353473E-2</v>
      </c>
      <c r="AC97" s="7">
        <v>1.6085251834724037</v>
      </c>
    </row>
    <row r="98" spans="18:29">
      <c r="R98" t="s">
        <v>610</v>
      </c>
      <c r="S98" s="18">
        <v>1</v>
      </c>
      <c r="T98" s="14">
        <v>23622</v>
      </c>
      <c r="U98" s="5">
        <v>27</v>
      </c>
      <c r="V98" s="15">
        <v>0.78060000000000007</v>
      </c>
      <c r="W98" s="5">
        <v>2</v>
      </c>
      <c r="X98" s="7">
        <v>78.349800000000002</v>
      </c>
      <c r="Y98" s="17">
        <v>23622</v>
      </c>
      <c r="Z98" s="14">
        <v>656</v>
      </c>
      <c r="AA98" s="5">
        <v>69</v>
      </c>
      <c r="AB98" s="9">
        <v>2.8998391330115992E-2</v>
      </c>
      <c r="AC98" s="7">
        <v>2.921005842011684</v>
      </c>
    </row>
    <row r="99" spans="18:29">
      <c r="R99" t="s">
        <v>616</v>
      </c>
      <c r="S99" s="18">
        <v>1</v>
      </c>
      <c r="T99" s="14">
        <v>19863</v>
      </c>
      <c r="U99" s="5">
        <v>25</v>
      </c>
      <c r="V99" s="15">
        <v>0.76209999999999989</v>
      </c>
      <c r="W99" s="5">
        <v>4</v>
      </c>
      <c r="X99" s="7">
        <v>59.972099999999998</v>
      </c>
      <c r="Y99" s="17">
        <v>19863</v>
      </c>
      <c r="Z99" s="14">
        <v>542</v>
      </c>
      <c r="AA99" s="5">
        <v>42</v>
      </c>
      <c r="AB99" s="9">
        <v>2.8746916377183709E-2</v>
      </c>
      <c r="AC99" s="7">
        <v>2.1144842168856668</v>
      </c>
    </row>
    <row r="100" spans="18:29">
      <c r="R100" t="s">
        <v>576</v>
      </c>
      <c r="S100" s="18">
        <v>1</v>
      </c>
      <c r="T100" s="14">
        <v>89408</v>
      </c>
      <c r="U100" s="5">
        <v>111</v>
      </c>
      <c r="V100" s="15">
        <v>0.68290000000000006</v>
      </c>
      <c r="W100" s="5">
        <v>12</v>
      </c>
      <c r="X100" s="7">
        <v>277.6551</v>
      </c>
      <c r="Y100" s="17">
        <v>89408</v>
      </c>
      <c r="Z100" s="14">
        <v>2081</v>
      </c>
      <c r="AA100" s="5">
        <v>54</v>
      </c>
      <c r="AB100" s="9">
        <v>2.4651037938439514E-2</v>
      </c>
      <c r="AC100" s="7">
        <v>0.60397279885468858</v>
      </c>
    </row>
    <row r="101" spans="18:29">
      <c r="R101" t="s">
        <v>634</v>
      </c>
      <c r="S101" s="18">
        <v>1</v>
      </c>
      <c r="T101" s="14">
        <v>24037</v>
      </c>
      <c r="U101" s="5">
        <v>19</v>
      </c>
      <c r="V101" s="15">
        <v>0.76880000000000004</v>
      </c>
      <c r="W101" s="5">
        <v>2</v>
      </c>
      <c r="X101" s="7">
        <v>89.099900000000005</v>
      </c>
      <c r="Y101" s="17">
        <v>24037</v>
      </c>
      <c r="Z101" s="14">
        <v>694</v>
      </c>
      <c r="AA101" s="5">
        <v>9</v>
      </c>
      <c r="AB101" s="9">
        <v>2.9745808545159545E-2</v>
      </c>
      <c r="AC101" s="7">
        <v>0.37442276490410614</v>
      </c>
    </row>
    <row r="102" spans="18:29">
      <c r="R102" t="s">
        <v>591</v>
      </c>
      <c r="S102" s="18">
        <v>1</v>
      </c>
      <c r="T102" s="14">
        <v>37718</v>
      </c>
      <c r="U102" s="5">
        <v>48</v>
      </c>
      <c r="V102" s="15">
        <v>0.87650000000000017</v>
      </c>
      <c r="W102" s="5">
        <v>7</v>
      </c>
      <c r="X102" s="7">
        <v>124.6678</v>
      </c>
      <c r="Y102" s="17">
        <v>37718</v>
      </c>
      <c r="Z102" s="14">
        <v>1119</v>
      </c>
      <c r="AA102" s="5">
        <v>23</v>
      </c>
      <c r="AB102" s="9">
        <v>3.1125722466726763E-2</v>
      </c>
      <c r="AC102" s="7">
        <v>0.6097884299273556</v>
      </c>
    </row>
    <row r="103" spans="18:29">
      <c r="R103" t="s">
        <v>622</v>
      </c>
      <c r="S103" s="18">
        <v>1</v>
      </c>
      <c r="T103" s="14">
        <v>28690</v>
      </c>
      <c r="U103" s="5">
        <v>24</v>
      </c>
      <c r="V103" s="15">
        <v>0.93319999999999992</v>
      </c>
      <c r="W103" s="5">
        <v>1</v>
      </c>
      <c r="X103" s="7">
        <v>97.888999999999996</v>
      </c>
      <c r="Y103" s="17">
        <v>28690</v>
      </c>
      <c r="Z103" s="14">
        <v>755</v>
      </c>
      <c r="AA103" s="5">
        <v>37</v>
      </c>
      <c r="AB103" s="9">
        <v>2.7187173231090971E-2</v>
      </c>
      <c r="AC103" s="7">
        <v>1.2896479609620077</v>
      </c>
    </row>
    <row r="104" spans="18:29">
      <c r="R104" t="s">
        <v>613</v>
      </c>
      <c r="S104" s="18">
        <v>1</v>
      </c>
      <c r="T104" s="14">
        <v>60505</v>
      </c>
      <c r="U104" s="5">
        <v>26</v>
      </c>
      <c r="V104" s="15">
        <v>0.98780000000000001</v>
      </c>
      <c r="W104" s="5">
        <v>5</v>
      </c>
      <c r="X104" s="7">
        <v>178.0865</v>
      </c>
      <c r="Y104" s="17">
        <v>60505</v>
      </c>
      <c r="Z104" s="14">
        <v>679</v>
      </c>
      <c r="AA104" s="5">
        <v>74</v>
      </c>
      <c r="AB104" s="9">
        <v>1.17345673911247E-2</v>
      </c>
      <c r="AC104" s="7">
        <v>1.2230394182298985</v>
      </c>
    </row>
    <row r="105" spans="18:29">
      <c r="R105" t="s">
        <v>570</v>
      </c>
      <c r="S105" s="18">
        <v>1</v>
      </c>
      <c r="T105" s="14">
        <v>201821</v>
      </c>
      <c r="U105" s="5">
        <v>145</v>
      </c>
      <c r="V105" s="15">
        <v>0.92440000000000011</v>
      </c>
      <c r="W105" s="5">
        <v>5</v>
      </c>
      <c r="X105" s="7">
        <v>502.99400000000003</v>
      </c>
      <c r="Y105" s="17">
        <v>201821</v>
      </c>
      <c r="Z105" s="14">
        <v>4230</v>
      </c>
      <c r="AA105" s="5">
        <v>82</v>
      </c>
      <c r="AB105" s="9">
        <v>2.1702399651176041E-2</v>
      </c>
      <c r="AC105" s="7">
        <v>0.4063006327389122</v>
      </c>
    </row>
    <row r="106" spans="18:29">
      <c r="R106" t="s">
        <v>715</v>
      </c>
      <c r="S106" s="18">
        <v>1</v>
      </c>
      <c r="T106" s="14">
        <v>7090</v>
      </c>
      <c r="U106" s="5">
        <v>1</v>
      </c>
      <c r="V106" s="15">
        <v>0.80120000000000002</v>
      </c>
      <c r="W106" s="5">
        <v>3</v>
      </c>
      <c r="X106" s="7">
        <v>16.336400000000001</v>
      </c>
      <c r="Y106" s="17">
        <v>7090</v>
      </c>
      <c r="Z106" s="14">
        <v>333</v>
      </c>
      <c r="AA106" s="5">
        <v>39</v>
      </c>
      <c r="AB106" s="9">
        <v>4.7531734837799718E-2</v>
      </c>
      <c r="AC106" s="7">
        <v>5.500705218617771</v>
      </c>
    </row>
    <row r="107" spans="18:29">
      <c r="R107" t="s">
        <v>712</v>
      </c>
      <c r="S107" s="18">
        <v>1</v>
      </c>
      <c r="T107" s="14">
        <v>1904</v>
      </c>
      <c r="U107" s="5">
        <v>2</v>
      </c>
      <c r="V107" s="15">
        <v>0.76080000000000003</v>
      </c>
      <c r="W107" s="5">
        <v>0</v>
      </c>
      <c r="X107" s="7">
        <v>3.9567000000000001</v>
      </c>
      <c r="Y107" s="17">
        <v>1904</v>
      </c>
      <c r="Z107" s="14">
        <v>32</v>
      </c>
      <c r="AA107" s="5">
        <v>1</v>
      </c>
      <c r="AB107" s="9">
        <v>1.7857142857142856E-2</v>
      </c>
      <c r="AC107" s="7">
        <v>0.52521008403361347</v>
      </c>
    </row>
    <row r="108" spans="18:29">
      <c r="R108" t="s">
        <v>699</v>
      </c>
      <c r="S108" s="18">
        <v>1</v>
      </c>
      <c r="T108" s="14">
        <v>27485</v>
      </c>
      <c r="U108" s="5">
        <v>6</v>
      </c>
      <c r="V108" s="15">
        <v>0.81129999999999991</v>
      </c>
      <c r="W108" s="5">
        <v>3</v>
      </c>
      <c r="X108" s="7">
        <v>79.915700000000001</v>
      </c>
      <c r="Y108" s="17">
        <v>27485</v>
      </c>
      <c r="Z108" s="14">
        <v>790</v>
      </c>
      <c r="AA108" s="5">
        <v>29</v>
      </c>
      <c r="AB108" s="9">
        <v>2.9070402037474987E-2</v>
      </c>
      <c r="AC108" s="7">
        <v>1.0551209750773149</v>
      </c>
    </row>
    <row r="109" spans="18:29">
      <c r="R109" t="s">
        <v>594</v>
      </c>
      <c r="S109" s="18">
        <v>1</v>
      </c>
      <c r="T109" s="14">
        <v>31558</v>
      </c>
      <c r="U109" s="5">
        <v>41</v>
      </c>
      <c r="V109" s="15">
        <v>0.89680000000000004</v>
      </c>
      <c r="W109" s="5">
        <v>6</v>
      </c>
      <c r="X109" s="7">
        <v>114.97069999999999</v>
      </c>
      <c r="Y109" s="17">
        <v>31558</v>
      </c>
      <c r="Z109" s="14">
        <v>816</v>
      </c>
      <c r="AA109" s="5">
        <v>15</v>
      </c>
      <c r="AB109" s="9">
        <v>2.7346473160529818E-2</v>
      </c>
      <c r="AC109" s="7">
        <v>0.47531529247734333</v>
      </c>
    </row>
    <row r="110" spans="18:29">
      <c r="R110" t="s">
        <v>666</v>
      </c>
      <c r="S110" s="18">
        <v>1</v>
      </c>
      <c r="T110" s="14">
        <v>29709</v>
      </c>
      <c r="U110" s="5">
        <v>10</v>
      </c>
      <c r="V110" s="15">
        <v>0.94340000000000002</v>
      </c>
      <c r="W110" s="5">
        <v>0</v>
      </c>
      <c r="X110" s="7">
        <v>89.008300000000006</v>
      </c>
      <c r="Y110" s="17">
        <v>29709</v>
      </c>
      <c r="Z110" s="14">
        <v>596</v>
      </c>
      <c r="AA110" s="5">
        <v>9</v>
      </c>
      <c r="AB110" s="9">
        <v>2.0397859234575381E-2</v>
      </c>
      <c r="AC110" s="7">
        <v>0.30293850348379281</v>
      </c>
    </row>
    <row r="111" spans="18:29">
      <c r="R111" t="s">
        <v>687</v>
      </c>
      <c r="S111" s="18">
        <v>1</v>
      </c>
      <c r="T111" s="14">
        <v>32342</v>
      </c>
      <c r="U111" s="5">
        <v>7</v>
      </c>
      <c r="V111" s="15">
        <v>0.94469999999999998</v>
      </c>
      <c r="W111" s="5">
        <v>2</v>
      </c>
      <c r="X111" s="7">
        <v>102.3522</v>
      </c>
      <c r="Y111" s="17">
        <v>32342</v>
      </c>
      <c r="Z111" s="14">
        <v>450</v>
      </c>
      <c r="AA111" s="5">
        <v>19</v>
      </c>
      <c r="AB111" s="9">
        <v>1.4192072228062581E-2</v>
      </c>
      <c r="AC111" s="7">
        <v>0.58747139941871251</v>
      </c>
    </row>
    <row r="112" spans="18:29">
      <c r="R112" t="s">
        <v>714</v>
      </c>
      <c r="S112" s="18">
        <v>1</v>
      </c>
      <c r="T112" s="14">
        <v>26087</v>
      </c>
      <c r="U112" s="5">
        <v>2</v>
      </c>
      <c r="V112" s="15">
        <v>0.91720000000000002</v>
      </c>
      <c r="W112" s="5">
        <v>2</v>
      </c>
      <c r="X112" s="7">
        <v>91.565299999999993</v>
      </c>
      <c r="Y112" s="17">
        <v>26087</v>
      </c>
      <c r="Z112" s="14">
        <v>340</v>
      </c>
      <c r="AA112" s="5">
        <v>29</v>
      </c>
      <c r="AB112" s="9">
        <v>1.3186644688925518E-2</v>
      </c>
      <c r="AC112" s="7">
        <v>1.1116648138919769</v>
      </c>
    </row>
    <row r="113" spans="18:29">
      <c r="R113" t="s">
        <v>696</v>
      </c>
      <c r="S113" s="18">
        <v>1</v>
      </c>
      <c r="T113" s="14">
        <v>27232</v>
      </c>
      <c r="U113" s="5">
        <v>6</v>
      </c>
      <c r="V113" s="15">
        <v>0.85420000000000007</v>
      </c>
      <c r="W113" s="5">
        <v>2</v>
      </c>
      <c r="X113" s="7">
        <v>94.341899999999995</v>
      </c>
      <c r="Y113" s="17">
        <v>27232</v>
      </c>
      <c r="Z113" s="14">
        <v>711</v>
      </c>
      <c r="AA113" s="5">
        <v>36</v>
      </c>
      <c r="AB113" s="9">
        <v>2.6402761457109285E-2</v>
      </c>
      <c r="AC113" s="7">
        <v>1.3219741480611047</v>
      </c>
    </row>
    <row r="114" spans="18:29">
      <c r="R114" t="s">
        <v>653</v>
      </c>
      <c r="S114" s="18">
        <v>1</v>
      </c>
      <c r="T114" s="14">
        <v>55535</v>
      </c>
      <c r="U114" s="5">
        <v>13</v>
      </c>
      <c r="V114" s="15">
        <v>0.8548</v>
      </c>
      <c r="W114" s="5">
        <v>0</v>
      </c>
      <c r="X114" s="7">
        <v>158.54390000000001</v>
      </c>
      <c r="Y114" s="17">
        <v>55535</v>
      </c>
      <c r="Z114" s="14">
        <v>849</v>
      </c>
      <c r="AA114" s="5">
        <v>43</v>
      </c>
      <c r="AB114" s="9">
        <v>1.5521743044926622E-2</v>
      </c>
      <c r="AC114" s="7">
        <v>0.77428648599981997</v>
      </c>
    </row>
    <row r="115" spans="18:29">
      <c r="R115" t="s">
        <v>713</v>
      </c>
      <c r="S115" s="18">
        <v>1</v>
      </c>
      <c r="T115" s="14">
        <v>960</v>
      </c>
      <c r="U115" s="5">
        <v>1</v>
      </c>
      <c r="V115" s="15">
        <v>0.84299999999999997</v>
      </c>
      <c r="W115" s="5">
        <v>0</v>
      </c>
      <c r="X115" s="7">
        <v>2.2193999999999998</v>
      </c>
      <c r="Y115" s="17">
        <v>960</v>
      </c>
      <c r="Z115" s="14">
        <v>14</v>
      </c>
      <c r="AA115" s="5">
        <v>0</v>
      </c>
      <c r="AB115" s="9">
        <v>1.5625E-2</v>
      </c>
      <c r="AC115" s="7">
        <v>0</v>
      </c>
    </row>
    <row r="116" spans="18:29">
      <c r="R116" t="s">
        <v>637</v>
      </c>
      <c r="S116" s="18">
        <v>1</v>
      </c>
      <c r="T116" s="14">
        <v>24238</v>
      </c>
      <c r="U116" s="5">
        <v>17</v>
      </c>
      <c r="V116" s="15">
        <v>0.74420000000000008</v>
      </c>
      <c r="W116" s="5">
        <v>2</v>
      </c>
      <c r="X116" s="7">
        <v>72.377899999999997</v>
      </c>
      <c r="Y116" s="17">
        <v>24238</v>
      </c>
      <c r="Z116" s="14">
        <v>795</v>
      </c>
      <c r="AA116" s="5">
        <v>28</v>
      </c>
      <c r="AB116" s="9">
        <v>3.3583629012294745E-2</v>
      </c>
      <c r="AC116" s="7">
        <v>1.1552108259757405</v>
      </c>
    </row>
    <row r="117" spans="18:29">
      <c r="R117" t="s">
        <v>647</v>
      </c>
      <c r="S117" s="18">
        <v>1</v>
      </c>
      <c r="T117" s="14">
        <v>30840</v>
      </c>
      <c r="U117" s="5">
        <v>15</v>
      </c>
      <c r="V117" s="15">
        <v>0.93650000000000011</v>
      </c>
      <c r="W117" s="5">
        <v>4</v>
      </c>
      <c r="X117" s="7">
        <v>125.1293</v>
      </c>
      <c r="Y117" s="17">
        <v>30840</v>
      </c>
      <c r="Z117" s="14">
        <v>781</v>
      </c>
      <c r="AA117" s="5">
        <v>68</v>
      </c>
      <c r="AB117" s="9">
        <v>2.5940337224383919E-2</v>
      </c>
      <c r="AC117" s="7">
        <v>2.2049286640726331</v>
      </c>
    </row>
    <row r="118" spans="18:29">
      <c r="R118" t="s">
        <v>615</v>
      </c>
      <c r="S118" s="18">
        <v>1</v>
      </c>
      <c r="T118" s="14">
        <v>25864</v>
      </c>
      <c r="U118" s="5">
        <v>26</v>
      </c>
      <c r="V118" s="15">
        <v>0.81379999999999997</v>
      </c>
      <c r="W118" s="5">
        <v>8</v>
      </c>
      <c r="X118" s="7">
        <v>70.066800000000001</v>
      </c>
      <c r="Y118" s="17">
        <v>25864</v>
      </c>
      <c r="Z118" s="14">
        <v>834</v>
      </c>
      <c r="AA118" s="5">
        <v>48</v>
      </c>
      <c r="AB118" s="9">
        <v>3.3560160841323849E-2</v>
      </c>
      <c r="AC118" s="7">
        <v>1.8558614290133002</v>
      </c>
    </row>
    <row r="119" spans="18:29">
      <c r="R119" t="s">
        <v>588</v>
      </c>
      <c r="S119" s="18">
        <v>1</v>
      </c>
      <c r="T119" s="14">
        <v>78369</v>
      </c>
      <c r="U119" s="5">
        <v>61</v>
      </c>
      <c r="V119" s="15">
        <v>0.91830000000000001</v>
      </c>
      <c r="W119" s="5">
        <v>13</v>
      </c>
      <c r="X119" s="7">
        <v>221.87719999999999</v>
      </c>
      <c r="Y119" s="17">
        <v>78369</v>
      </c>
      <c r="Z119" s="14">
        <v>1141</v>
      </c>
      <c r="AA119" s="5">
        <v>159</v>
      </c>
      <c r="AB119" s="9">
        <v>1.55035792213758E-2</v>
      </c>
      <c r="AC119" s="7">
        <v>2.0288634536615242</v>
      </c>
    </row>
    <row r="120" spans="18:29">
      <c r="R120" t="s">
        <v>707</v>
      </c>
      <c r="S120" s="18">
        <v>1</v>
      </c>
      <c r="T120" s="14">
        <v>26249</v>
      </c>
      <c r="U120" s="5">
        <v>5</v>
      </c>
      <c r="V120" s="15">
        <v>0.93959999999999999</v>
      </c>
      <c r="W120" s="5">
        <v>0</v>
      </c>
      <c r="X120" s="7">
        <v>95.081500000000005</v>
      </c>
      <c r="Y120" s="17">
        <v>26249</v>
      </c>
      <c r="Z120" s="14">
        <v>266</v>
      </c>
      <c r="AA120" s="5">
        <v>17</v>
      </c>
      <c r="AB120" s="9">
        <v>1.0324202826774353E-2</v>
      </c>
      <c r="AC120" s="7">
        <v>0.64764371976075275</v>
      </c>
    </row>
    <row r="121" spans="18:29">
      <c r="R121" t="s">
        <v>630</v>
      </c>
      <c r="S121" s="18">
        <v>1</v>
      </c>
      <c r="T121" s="14">
        <v>29905</v>
      </c>
      <c r="U121" s="5">
        <v>20</v>
      </c>
      <c r="V121" s="15">
        <v>0.86010000000000009</v>
      </c>
      <c r="W121" s="5">
        <v>3</v>
      </c>
      <c r="X121" s="7">
        <v>99.516599999999997</v>
      </c>
      <c r="Y121" s="17">
        <v>29905</v>
      </c>
      <c r="Z121" s="14">
        <v>326</v>
      </c>
      <c r="AA121" s="5">
        <v>11</v>
      </c>
      <c r="AB121" s="9">
        <v>1.1670289249289416E-2</v>
      </c>
      <c r="AC121" s="7">
        <v>0.36783146630998159</v>
      </c>
    </row>
    <row r="122" spans="18:29">
      <c r="R122" t="s">
        <v>676</v>
      </c>
      <c r="S122" s="18">
        <v>1</v>
      </c>
      <c r="T122" s="14">
        <v>26195</v>
      </c>
      <c r="U122" s="5">
        <v>9</v>
      </c>
      <c r="V122" s="15">
        <v>0.8173999999999999</v>
      </c>
      <c r="W122" s="5">
        <v>2</v>
      </c>
      <c r="X122" s="7">
        <v>68.595200000000006</v>
      </c>
      <c r="Y122" s="17">
        <v>26195</v>
      </c>
      <c r="Z122" s="14">
        <v>291</v>
      </c>
      <c r="AA122" s="5">
        <v>15</v>
      </c>
      <c r="AB122" s="9">
        <v>1.1528917732391678E-2</v>
      </c>
      <c r="AC122" s="7">
        <v>0.57262836419163965</v>
      </c>
    </row>
    <row r="123" spans="18:29">
      <c r="R123" t="s">
        <v>673</v>
      </c>
      <c r="S123" s="18">
        <v>1</v>
      </c>
      <c r="T123" s="14">
        <v>24815</v>
      </c>
      <c r="U123" s="5">
        <v>9</v>
      </c>
      <c r="V123" s="15">
        <v>0.93640000000000001</v>
      </c>
      <c r="W123" s="5">
        <v>0</v>
      </c>
      <c r="X123" s="7">
        <v>62.9206</v>
      </c>
      <c r="Y123" s="17">
        <v>24815</v>
      </c>
      <c r="Z123" s="14">
        <v>471</v>
      </c>
      <c r="AA123" s="5">
        <v>42</v>
      </c>
      <c r="AB123" s="9">
        <v>1.934313923030425E-2</v>
      </c>
      <c r="AC123" s="7">
        <v>1.692524682651622</v>
      </c>
    </row>
    <row r="124" spans="18:29">
      <c r="R124" t="s">
        <v>702</v>
      </c>
      <c r="S124" s="18">
        <v>1</v>
      </c>
      <c r="T124" s="14">
        <v>17159</v>
      </c>
      <c r="U124" s="5">
        <v>5</v>
      </c>
      <c r="V124" s="15">
        <v>0.88780000000000003</v>
      </c>
      <c r="W124" s="5">
        <v>0</v>
      </c>
      <c r="X124" s="7">
        <v>45.710900000000002</v>
      </c>
      <c r="Y124" s="17">
        <v>17159</v>
      </c>
      <c r="Z124" s="14">
        <v>153</v>
      </c>
      <c r="AA124" s="5">
        <v>13</v>
      </c>
      <c r="AB124" s="9">
        <v>9.2079958039512789E-3</v>
      </c>
      <c r="AC124" s="7">
        <v>0.75761990792004197</v>
      </c>
    </row>
    <row r="125" spans="18:29">
      <c r="R125" t="s">
        <v>639</v>
      </c>
      <c r="S125" s="18">
        <v>1</v>
      </c>
      <c r="T125" s="14">
        <v>31086</v>
      </c>
      <c r="U125" s="5">
        <v>16</v>
      </c>
      <c r="V125" s="15">
        <v>0.8637999999999999</v>
      </c>
      <c r="W125" s="5">
        <v>1</v>
      </c>
      <c r="X125" s="7">
        <v>101.5304</v>
      </c>
      <c r="Y125" s="17">
        <v>31086</v>
      </c>
      <c r="Z125" s="14">
        <v>762</v>
      </c>
      <c r="AA125" s="5">
        <v>17</v>
      </c>
      <c r="AB125" s="9">
        <v>2.5059512320658818E-2</v>
      </c>
      <c r="AC125" s="7">
        <v>0.54686997362156609</v>
      </c>
    </row>
    <row r="126" spans="18:29">
      <c r="R126" t="s">
        <v>658</v>
      </c>
      <c r="S126" s="18">
        <v>1</v>
      </c>
      <c r="T126" s="14">
        <v>29174</v>
      </c>
      <c r="U126" s="5">
        <v>12</v>
      </c>
      <c r="V126" s="15">
        <v>1.0068999999999999</v>
      </c>
      <c r="W126" s="5">
        <v>3</v>
      </c>
      <c r="X126" s="7">
        <v>106.0538</v>
      </c>
      <c r="Y126" s="17">
        <v>29174</v>
      </c>
      <c r="Z126" s="14">
        <v>724</v>
      </c>
      <c r="AA126" s="5">
        <v>35</v>
      </c>
      <c r="AB126" s="9">
        <v>2.5330773976828685E-2</v>
      </c>
      <c r="AC126" s="7">
        <v>1.1996983615548089</v>
      </c>
    </row>
    <row r="127" spans="18:29">
      <c r="R127" t="s">
        <v>649</v>
      </c>
      <c r="S127" s="18">
        <v>1</v>
      </c>
      <c r="T127" s="14">
        <v>180758</v>
      </c>
      <c r="U127" s="5">
        <v>14</v>
      </c>
      <c r="V127" s="15">
        <v>1.0234000000000001</v>
      </c>
      <c r="W127" s="5">
        <v>4</v>
      </c>
      <c r="X127" s="7">
        <v>401.59440000000001</v>
      </c>
      <c r="Y127" s="17">
        <v>180758</v>
      </c>
      <c r="Z127" s="14">
        <v>886</v>
      </c>
      <c r="AA127" s="5">
        <v>56</v>
      </c>
      <c r="AB127" s="9">
        <v>5.0011617743059783E-3</v>
      </c>
      <c r="AC127" s="7">
        <v>0.30980648159417568</v>
      </c>
    </row>
    <row r="128" spans="18:29">
      <c r="R128" t="s">
        <v>664</v>
      </c>
      <c r="S128" s="18">
        <v>1</v>
      </c>
      <c r="T128" s="14">
        <v>39167</v>
      </c>
      <c r="U128" s="5">
        <v>10</v>
      </c>
      <c r="V128" s="15">
        <v>1.1345999999999998</v>
      </c>
      <c r="W128" s="5">
        <v>0</v>
      </c>
      <c r="X128" s="7">
        <v>90.521299999999997</v>
      </c>
      <c r="Y128" s="17">
        <v>39167</v>
      </c>
      <c r="Z128" s="14">
        <v>275</v>
      </c>
      <c r="AA128" s="5">
        <v>17</v>
      </c>
      <c r="AB128" s="9">
        <v>7.2765338167334742E-3</v>
      </c>
      <c r="AC128" s="7">
        <v>0.43403885924375113</v>
      </c>
    </row>
    <row r="129" spans="18:29">
      <c r="R129" t="s">
        <v>711</v>
      </c>
      <c r="S129" s="18">
        <v>1</v>
      </c>
      <c r="T129" s="14">
        <v>15039</v>
      </c>
      <c r="U129" s="5">
        <v>3</v>
      </c>
      <c r="V129" s="15">
        <v>1.0346</v>
      </c>
      <c r="W129" s="5">
        <v>1</v>
      </c>
      <c r="X129" s="7">
        <v>33.697200000000002</v>
      </c>
      <c r="Y129" s="17">
        <v>15039</v>
      </c>
      <c r="Z129" s="14">
        <v>164</v>
      </c>
      <c r="AA129" s="5">
        <v>7</v>
      </c>
      <c r="AB129" s="9">
        <v>1.1170955515659286E-2</v>
      </c>
      <c r="AC129" s="7">
        <v>0.4654564798191369</v>
      </c>
    </row>
    <row r="130" spans="18:29">
      <c r="R130" t="s">
        <v>684</v>
      </c>
      <c r="S130" s="18">
        <v>1</v>
      </c>
      <c r="T130" s="14">
        <v>11461</v>
      </c>
      <c r="U130" s="5">
        <v>7</v>
      </c>
      <c r="V130" s="15">
        <v>0.74829999999999997</v>
      </c>
      <c r="W130" s="5">
        <v>4</v>
      </c>
      <c r="X130" s="7">
        <v>33.783900000000003</v>
      </c>
      <c r="Y130" s="17">
        <v>11461</v>
      </c>
      <c r="Z130" s="14">
        <v>142</v>
      </c>
      <c r="AA130" s="5">
        <v>11</v>
      </c>
      <c r="AB130" s="9">
        <v>1.3349620451967543E-2</v>
      </c>
      <c r="AC130" s="7">
        <v>0.95977663380158795</v>
      </c>
    </row>
    <row r="131" spans="18:29">
      <c r="R131" t="s">
        <v>693</v>
      </c>
      <c r="S131" s="18">
        <v>1</v>
      </c>
      <c r="T131" s="14">
        <v>26887</v>
      </c>
      <c r="U131" s="5">
        <v>7</v>
      </c>
      <c r="V131" s="15">
        <v>0.85039999999999993</v>
      </c>
      <c r="W131" s="5">
        <v>1</v>
      </c>
      <c r="X131" s="7">
        <v>77.949700000000007</v>
      </c>
      <c r="Y131" s="17">
        <v>26887</v>
      </c>
      <c r="Z131" s="14">
        <v>311</v>
      </c>
      <c r="AA131" s="5">
        <v>8</v>
      </c>
      <c r="AB131" s="9">
        <v>1.1864469818127719E-2</v>
      </c>
      <c r="AC131" s="7">
        <v>0.29754156283705885</v>
      </c>
    </row>
    <row r="132" spans="18:29">
      <c r="R132" t="s">
        <v>632</v>
      </c>
      <c r="S132" s="18">
        <v>1</v>
      </c>
      <c r="T132" s="14">
        <v>35576</v>
      </c>
      <c r="U132" s="5">
        <v>19</v>
      </c>
      <c r="V132" s="15">
        <v>0.92819999999999991</v>
      </c>
      <c r="W132" s="5">
        <v>3</v>
      </c>
      <c r="X132" s="7">
        <v>98.175799999999995</v>
      </c>
      <c r="Y132" s="17">
        <v>35576</v>
      </c>
      <c r="Z132" s="14">
        <v>604</v>
      </c>
      <c r="AA132" s="5">
        <v>23</v>
      </c>
      <c r="AB132" s="9">
        <v>1.7596132223971217E-2</v>
      </c>
      <c r="AC132" s="7">
        <v>0.64650326062514063</v>
      </c>
    </row>
    <row r="133" spans="18:29">
      <c r="R133" t="s">
        <v>709</v>
      </c>
      <c r="S133" s="18">
        <v>1</v>
      </c>
      <c r="T133" s="14">
        <v>22036</v>
      </c>
      <c r="U133" s="5">
        <v>3</v>
      </c>
      <c r="V133" s="15">
        <v>0.81019999999999992</v>
      </c>
      <c r="W133" s="5">
        <v>1</v>
      </c>
      <c r="X133" s="7">
        <v>58.791400000000003</v>
      </c>
      <c r="Y133" s="17">
        <v>22036</v>
      </c>
      <c r="Z133" s="14">
        <v>171</v>
      </c>
      <c r="AA133" s="5">
        <v>4</v>
      </c>
      <c r="AB133" s="9">
        <v>7.941550190597205E-3</v>
      </c>
      <c r="AC133" s="7">
        <v>0.1815211472136504</v>
      </c>
    </row>
    <row r="134" spans="18:29">
      <c r="R134" t="s">
        <v>645</v>
      </c>
      <c r="S134" s="18">
        <v>1</v>
      </c>
      <c r="T134" s="14">
        <v>32139</v>
      </c>
      <c r="U134" s="5">
        <v>15</v>
      </c>
      <c r="V134" s="15">
        <v>0.89599999999999991</v>
      </c>
      <c r="W134" s="5">
        <v>4</v>
      </c>
      <c r="X134" s="7">
        <v>97.102500000000006</v>
      </c>
      <c r="Y134" s="17">
        <v>32139</v>
      </c>
      <c r="Z134" s="14">
        <v>754</v>
      </c>
      <c r="AA134" s="5">
        <v>34</v>
      </c>
      <c r="AB134" s="9">
        <v>2.4051775101901117E-2</v>
      </c>
      <c r="AC134" s="7">
        <v>1.0579047263449393</v>
      </c>
    </row>
    <row r="135" spans="18:29">
      <c r="R135" t="s">
        <v>564</v>
      </c>
      <c r="S135" s="18">
        <v>1</v>
      </c>
      <c r="T135" s="14">
        <v>4525030</v>
      </c>
      <c r="U135" s="5">
        <v>1932</v>
      </c>
      <c r="V135" s="15">
        <v>0.8748999999999999</v>
      </c>
      <c r="W135" s="5">
        <v>132</v>
      </c>
      <c r="X135" s="7">
        <v>14888.921899999999</v>
      </c>
      <c r="Y135" s="17">
        <v>4525030</v>
      </c>
      <c r="Z135" s="14">
        <v>92414</v>
      </c>
      <c r="AA135" s="5">
        <v>1941</v>
      </c>
      <c r="AB135" s="9">
        <v>2.0878977597938577E-2</v>
      </c>
      <c r="AC135" s="7">
        <v>0.42894743239271343</v>
      </c>
    </row>
    <row r="136" spans="18:29">
      <c r="R136" t="s">
        <v>675</v>
      </c>
      <c r="S136" s="18">
        <v>1</v>
      </c>
      <c r="T136" s="14">
        <v>34639</v>
      </c>
      <c r="U136" s="5">
        <v>9</v>
      </c>
      <c r="V136" s="15">
        <v>0.91749999999999998</v>
      </c>
      <c r="W136" s="5">
        <v>2</v>
      </c>
      <c r="X136" s="7">
        <v>116.19029999999999</v>
      </c>
      <c r="Y136" s="17">
        <v>34639</v>
      </c>
      <c r="Z136" s="14">
        <v>503</v>
      </c>
      <c r="AA136" s="5">
        <v>12</v>
      </c>
      <c r="AB136" s="9">
        <v>1.4838765553278097E-2</v>
      </c>
      <c r="AC136" s="7">
        <v>0.34643032420104508</v>
      </c>
    </row>
    <row r="137" spans="18:29">
      <c r="R137" t="s">
        <v>624</v>
      </c>
      <c r="S137" s="18">
        <v>1</v>
      </c>
      <c r="T137" s="14">
        <v>27234</v>
      </c>
      <c r="U137" s="5">
        <v>23</v>
      </c>
      <c r="V137" s="15">
        <v>0.86699999999999999</v>
      </c>
      <c r="W137" s="5">
        <v>3</v>
      </c>
      <c r="X137" s="7">
        <v>114.45350000000001</v>
      </c>
      <c r="Y137" s="17">
        <v>27234</v>
      </c>
      <c r="Z137" s="14">
        <v>676</v>
      </c>
      <c r="AA137" s="5">
        <v>34</v>
      </c>
      <c r="AB137" s="9">
        <v>2.5776602775941838E-2</v>
      </c>
      <c r="AC137" s="7">
        <v>1.2484394506866416</v>
      </c>
    </row>
    <row r="138" spans="18:29">
      <c r="R138" t="s">
        <v>670</v>
      </c>
      <c r="S138" s="18">
        <v>1</v>
      </c>
      <c r="T138" s="14">
        <v>20820</v>
      </c>
      <c r="U138" s="5">
        <v>9</v>
      </c>
      <c r="V138" s="15">
        <v>0.80420000000000003</v>
      </c>
      <c r="W138" s="5">
        <v>4</v>
      </c>
      <c r="X138" s="7">
        <v>66.983199999999997</v>
      </c>
      <c r="Y138" s="17">
        <v>20820</v>
      </c>
      <c r="Z138" s="14">
        <v>713</v>
      </c>
      <c r="AA138" s="5">
        <v>32</v>
      </c>
      <c r="AB138" s="9">
        <v>3.4870317002881845E-2</v>
      </c>
      <c r="AC138" s="7">
        <v>1.5369836695485111</v>
      </c>
    </row>
    <row r="139" spans="18:29">
      <c r="R139" t="s">
        <v>595</v>
      </c>
      <c r="S139" s="18">
        <v>1</v>
      </c>
      <c r="T139" s="14">
        <v>21221</v>
      </c>
      <c r="U139" s="5">
        <v>40</v>
      </c>
      <c r="V139" s="15">
        <v>0.69409999999999994</v>
      </c>
      <c r="W139" s="5">
        <v>8</v>
      </c>
      <c r="X139" s="7">
        <v>67.581500000000005</v>
      </c>
      <c r="Y139" s="17">
        <v>21221</v>
      </c>
      <c r="Z139" s="14">
        <v>1004</v>
      </c>
      <c r="AA139" s="5">
        <v>53</v>
      </c>
      <c r="AB139" s="9">
        <v>4.957353564864992E-2</v>
      </c>
      <c r="AC139" s="7">
        <v>2.497526035530842</v>
      </c>
    </row>
    <row r="140" spans="18:29">
      <c r="R140" t="s">
        <v>643</v>
      </c>
      <c r="S140" s="18">
        <v>1</v>
      </c>
      <c r="T140" s="14">
        <v>17180</v>
      </c>
      <c r="U140" s="5">
        <v>15</v>
      </c>
      <c r="V140" s="15">
        <v>0.59150000000000003</v>
      </c>
      <c r="W140" s="5">
        <v>4</v>
      </c>
      <c r="X140" s="7">
        <v>36.713000000000001</v>
      </c>
      <c r="Y140" s="17">
        <v>17180</v>
      </c>
      <c r="Z140" s="14">
        <v>632</v>
      </c>
      <c r="AA140" s="5">
        <v>38</v>
      </c>
      <c r="AB140" s="9">
        <v>3.7892898719441209E-2</v>
      </c>
      <c r="AC140" s="7">
        <v>2.2118742724097786</v>
      </c>
    </row>
    <row r="141" spans="18:29">
      <c r="R141" t="s">
        <v>683</v>
      </c>
      <c r="S141" s="18">
        <v>1</v>
      </c>
      <c r="T141" s="14">
        <v>13462</v>
      </c>
      <c r="U141" s="5">
        <v>0</v>
      </c>
      <c r="V141" s="15">
        <v>0.88789999999999991</v>
      </c>
      <c r="W141" s="5">
        <v>0</v>
      </c>
      <c r="X141" s="7">
        <v>34.205300000000001</v>
      </c>
      <c r="Y141" s="17">
        <v>13462</v>
      </c>
      <c r="Z141" s="14">
        <v>115</v>
      </c>
      <c r="AA141" s="5">
        <v>11</v>
      </c>
      <c r="AB141" s="9">
        <v>8.5425642549398304E-3</v>
      </c>
      <c r="AC141" s="7">
        <v>0.81711484177685334</v>
      </c>
    </row>
    <row r="142" spans="18:29">
      <c r="R142" t="s">
        <v>566</v>
      </c>
      <c r="S142" s="18">
        <v>1</v>
      </c>
      <c r="T142" s="14">
        <v>12066018</v>
      </c>
      <c r="U142" s="5">
        <v>711</v>
      </c>
      <c r="V142" s="15">
        <v>0.95629999999999993</v>
      </c>
      <c r="W142" s="5">
        <v>147</v>
      </c>
      <c r="X142" s="7">
        <v>31168.413</v>
      </c>
      <c r="Y142" s="17">
        <v>12066018</v>
      </c>
      <c r="Z142" s="14">
        <v>108504</v>
      </c>
      <c r="AA142" s="5">
        <v>4020</v>
      </c>
      <c r="AB142" s="9">
        <v>9.0636364043216247E-3</v>
      </c>
      <c r="AC142" s="7">
        <v>0.3331670813022159</v>
      </c>
    </row>
    <row r="143" spans="18:29">
      <c r="R143" t="s">
        <v>704</v>
      </c>
      <c r="S143" s="18">
        <v>1</v>
      </c>
      <c r="T143" s="14">
        <v>19063</v>
      </c>
      <c r="U143" s="5">
        <v>2</v>
      </c>
      <c r="V143" s="15">
        <v>0.9536</v>
      </c>
      <c r="W143" s="5">
        <v>0</v>
      </c>
      <c r="X143" s="7">
        <v>47.5199</v>
      </c>
      <c r="Y143" s="17">
        <v>19063</v>
      </c>
      <c r="Z143" s="14">
        <v>223</v>
      </c>
      <c r="AA143" s="5">
        <v>10</v>
      </c>
      <c r="AB143" s="9">
        <v>1.1802969102449773E-2</v>
      </c>
      <c r="AC143" s="7">
        <v>0.52457640455332311</v>
      </c>
    </row>
    <row r="144" spans="18:29">
      <c r="R144" t="s">
        <v>685</v>
      </c>
      <c r="S144" s="18">
        <v>1</v>
      </c>
      <c r="T144" s="14">
        <v>28913</v>
      </c>
      <c r="U144" s="5">
        <v>4</v>
      </c>
      <c r="V144" s="15">
        <v>1.0004999999999999</v>
      </c>
      <c r="W144" s="5">
        <v>1</v>
      </c>
      <c r="X144" s="7">
        <v>75.426199999999994</v>
      </c>
      <c r="Y144" s="17">
        <v>28913</v>
      </c>
      <c r="Z144" s="14">
        <v>292</v>
      </c>
      <c r="AA144" s="5">
        <v>13</v>
      </c>
      <c r="AB144" s="9">
        <v>1.0272195898038945E-2</v>
      </c>
      <c r="AC144" s="7">
        <v>0.44962473627779892</v>
      </c>
    </row>
    <row r="145" spans="18:29">
      <c r="R145" t="s">
        <v>690</v>
      </c>
      <c r="S145" s="18">
        <v>1</v>
      </c>
      <c r="T145" s="14">
        <v>30135</v>
      </c>
      <c r="U145" s="5">
        <v>1</v>
      </c>
      <c r="V145" s="15">
        <v>0.99650000000000005</v>
      </c>
      <c r="W145" s="5">
        <v>0</v>
      </c>
      <c r="X145" s="7">
        <v>89.074700000000007</v>
      </c>
      <c r="Y145" s="17">
        <v>30135</v>
      </c>
      <c r="Z145" s="14">
        <v>268</v>
      </c>
      <c r="AA145" s="5">
        <v>13</v>
      </c>
      <c r="AB145" s="9">
        <v>8.9264974282395881E-3</v>
      </c>
      <c r="AC145" s="7">
        <v>0.43139206902273108</v>
      </c>
    </row>
    <row r="146" spans="18:29">
      <c r="R146" t="s">
        <v>573</v>
      </c>
      <c r="S146" s="18">
        <v>1</v>
      </c>
      <c r="T146" s="14">
        <v>1434</v>
      </c>
      <c r="U146" s="5">
        <v>0</v>
      </c>
      <c r="V146" s="15">
        <v>0.87400000000000022</v>
      </c>
      <c r="W146" s="5">
        <v>5</v>
      </c>
      <c r="X146" s="7">
        <v>2.0903999999999998</v>
      </c>
      <c r="Y146" s="17">
        <v>1434</v>
      </c>
      <c r="Z146" s="14">
        <v>35</v>
      </c>
      <c r="AA146" s="5">
        <v>1</v>
      </c>
      <c r="AB146" s="9">
        <v>2.7894002789400279E-2</v>
      </c>
      <c r="AC146" s="7">
        <v>0.69735006973500691</v>
      </c>
    </row>
    <row r="147" spans="18:29">
      <c r="R147" t="s">
        <v>577</v>
      </c>
      <c r="S147" s="18">
        <v>1</v>
      </c>
      <c r="T147" s="14">
        <v>2334</v>
      </c>
      <c r="U147" s="5">
        <v>3</v>
      </c>
      <c r="V147" s="15">
        <v>1.2273000000000001</v>
      </c>
      <c r="W147" s="5">
        <v>6</v>
      </c>
      <c r="X147" s="7">
        <v>4.3037999999999998</v>
      </c>
      <c r="Y147" s="17">
        <v>2334</v>
      </c>
      <c r="Z147" s="14">
        <v>46</v>
      </c>
      <c r="AA147" s="5">
        <v>2</v>
      </c>
      <c r="AB147" s="9">
        <v>2.3564695801199659E-2</v>
      </c>
      <c r="AC147" s="7">
        <v>0.85689802913453306</v>
      </c>
    </row>
    <row r="148" spans="18:29">
      <c r="R148" t="s">
        <v>569</v>
      </c>
      <c r="S148" s="18">
        <v>1</v>
      </c>
      <c r="T148" s="14">
        <v>1485</v>
      </c>
      <c r="U148" s="5">
        <v>0</v>
      </c>
      <c r="V148" s="15">
        <v>1.0166999999999999</v>
      </c>
      <c r="W148" s="5">
        <v>1</v>
      </c>
      <c r="X148" s="7">
        <v>2.9961000000000002</v>
      </c>
      <c r="Y148" s="17">
        <v>1485</v>
      </c>
      <c r="Z148" s="14">
        <v>34</v>
      </c>
      <c r="AA148" s="5">
        <v>0</v>
      </c>
      <c r="AB148" s="9">
        <v>2.3569023569023569E-2</v>
      </c>
      <c r="AC148" s="7">
        <v>0</v>
      </c>
    </row>
    <row r="149" spans="18:29">
      <c r="R149" t="s">
        <v>575</v>
      </c>
      <c r="S149" s="18">
        <v>1</v>
      </c>
      <c r="T149" s="14">
        <v>1713</v>
      </c>
      <c r="U149" s="5">
        <v>2</v>
      </c>
      <c r="V149" s="15">
        <v>0.5625</v>
      </c>
      <c r="W149" s="5">
        <v>2</v>
      </c>
      <c r="X149" s="7">
        <v>7.2990000000000004</v>
      </c>
      <c r="Y149" s="17">
        <v>1713</v>
      </c>
      <c r="Z149" s="14">
        <v>38</v>
      </c>
      <c r="AA149" s="5">
        <v>1</v>
      </c>
      <c r="AB149" s="9">
        <v>2.4518388791593695E-2</v>
      </c>
      <c r="AC149" s="7">
        <v>0.58377116170461174</v>
      </c>
    </row>
    <row r="150" spans="18:29">
      <c r="R150" t="s">
        <v>565</v>
      </c>
      <c r="S150" s="18">
        <v>1</v>
      </c>
      <c r="T150" s="14">
        <v>1782</v>
      </c>
      <c r="U150" s="5">
        <v>2</v>
      </c>
      <c r="V150" s="15">
        <v>0.96050000000000002</v>
      </c>
      <c r="W150" s="5">
        <v>1</v>
      </c>
      <c r="X150" s="7">
        <v>4.5179999999999998</v>
      </c>
      <c r="Y150" s="17">
        <v>1782</v>
      </c>
      <c r="Z150" s="14">
        <v>27</v>
      </c>
      <c r="AA150" s="5">
        <v>0</v>
      </c>
      <c r="AB150" s="9">
        <v>1.6835016835016835E-2</v>
      </c>
      <c r="AC150" s="7">
        <v>0</v>
      </c>
    </row>
    <row r="151" spans="18:29">
      <c r="R151" t="s">
        <v>710</v>
      </c>
      <c r="S151" s="18">
        <v>1</v>
      </c>
      <c r="T151" s="14">
        <v>14312</v>
      </c>
      <c r="U151" s="5">
        <v>4</v>
      </c>
      <c r="V151" s="15">
        <v>0.80940000000000001</v>
      </c>
      <c r="W151" s="5">
        <v>1</v>
      </c>
      <c r="X151" s="7">
        <v>45.450499999999998</v>
      </c>
      <c r="Y151" s="17">
        <v>14312</v>
      </c>
      <c r="Z151" s="14">
        <v>325</v>
      </c>
      <c r="AA151" s="5">
        <v>5</v>
      </c>
      <c r="AB151" s="9">
        <v>2.305757406372275E-2</v>
      </c>
      <c r="AC151" s="7">
        <v>0.349357182783678</v>
      </c>
    </row>
    <row r="152" spans="18:29">
      <c r="R152" t="s">
        <v>694</v>
      </c>
      <c r="S152" s="18">
        <v>1</v>
      </c>
      <c r="T152" s="14">
        <v>23585</v>
      </c>
      <c r="U152" s="5">
        <v>2</v>
      </c>
      <c r="V152" s="15">
        <v>0.98419999999999996</v>
      </c>
      <c r="W152" s="5">
        <v>2</v>
      </c>
      <c r="X152" s="7">
        <v>56.042999999999999</v>
      </c>
      <c r="Y152" s="17">
        <v>23585</v>
      </c>
      <c r="Z152" s="14">
        <v>186</v>
      </c>
      <c r="AA152" s="5">
        <v>5</v>
      </c>
      <c r="AB152" s="9">
        <v>8.0559677761288962E-3</v>
      </c>
      <c r="AC152" s="7">
        <v>0.21199915200339198</v>
      </c>
    </row>
    <row r="153" spans="18:29">
      <c r="R153" t="s">
        <v>688</v>
      </c>
      <c r="S153" s="18">
        <v>1</v>
      </c>
      <c r="T153" s="14">
        <v>29328</v>
      </c>
      <c r="U153" s="5">
        <v>5</v>
      </c>
      <c r="V153" s="15">
        <v>0.92569999999999997</v>
      </c>
      <c r="W153" s="5">
        <v>3</v>
      </c>
      <c r="X153" s="7">
        <v>65.654200000000003</v>
      </c>
      <c r="Y153" s="17">
        <v>29328</v>
      </c>
      <c r="Z153" s="14">
        <v>303</v>
      </c>
      <c r="AA153" s="5">
        <v>22</v>
      </c>
      <c r="AB153" s="9">
        <v>1.0604200763775232E-2</v>
      </c>
      <c r="AC153" s="7">
        <v>0.75013638843426078</v>
      </c>
    </row>
    <row r="154" spans="18:29">
      <c r="R154" t="s">
        <v>623</v>
      </c>
      <c r="S154" s="18">
        <v>1</v>
      </c>
      <c r="T154" s="14">
        <v>3799</v>
      </c>
      <c r="U154" s="5">
        <v>1</v>
      </c>
      <c r="V154" s="15">
        <v>0.85829999999999995</v>
      </c>
      <c r="W154" s="5">
        <v>1</v>
      </c>
      <c r="X154" s="7">
        <v>6.0572999999999997</v>
      </c>
      <c r="Y154" s="17">
        <v>3799</v>
      </c>
      <c r="Z154" s="14">
        <v>86</v>
      </c>
      <c r="AA154" s="5">
        <v>3</v>
      </c>
      <c r="AB154" s="9">
        <v>2.3163990523822058E-2</v>
      </c>
      <c r="AC154" s="7">
        <v>0.7896814951302974</v>
      </c>
    </row>
    <row r="155" spans="18:29">
      <c r="R155" t="s">
        <v>672</v>
      </c>
      <c r="S155" s="18">
        <v>1</v>
      </c>
      <c r="T155" s="14">
        <v>30527</v>
      </c>
      <c r="U155" s="5">
        <v>2</v>
      </c>
      <c r="V155" s="15">
        <v>0.9516</v>
      </c>
      <c r="W155" s="5">
        <v>2</v>
      </c>
      <c r="X155" s="7">
        <v>84.889600000000002</v>
      </c>
      <c r="Y155" s="17">
        <v>30527</v>
      </c>
      <c r="Z155" s="14">
        <v>488</v>
      </c>
      <c r="AA155" s="5">
        <v>34</v>
      </c>
      <c r="AB155" s="9">
        <v>1.6116880138893439E-2</v>
      </c>
      <c r="AC155" s="7">
        <v>1.113768139679628</v>
      </c>
    </row>
    <row r="156" spans="18:29">
      <c r="R156" t="s">
        <v>581</v>
      </c>
      <c r="S156" s="18">
        <v>1</v>
      </c>
      <c r="T156" s="14">
        <v>2466</v>
      </c>
      <c r="U156" s="5">
        <v>5</v>
      </c>
      <c r="V156" s="15">
        <v>0.83050000000000002</v>
      </c>
      <c r="W156" s="5">
        <v>5</v>
      </c>
      <c r="X156" s="7">
        <v>8.2111000000000001</v>
      </c>
      <c r="Y156" s="17">
        <v>2466</v>
      </c>
      <c r="Z156" s="14">
        <v>53</v>
      </c>
      <c r="AA156" s="5">
        <v>2</v>
      </c>
      <c r="AB156" s="9">
        <v>2.5547445255474453E-2</v>
      </c>
      <c r="AC156" s="7">
        <v>0.81103000811030013</v>
      </c>
    </row>
    <row r="157" spans="18:29">
      <c r="R157" t="s">
        <v>583</v>
      </c>
      <c r="S157" s="18">
        <v>1</v>
      </c>
      <c r="T157" s="14">
        <v>2566</v>
      </c>
      <c r="U157" s="5">
        <v>1</v>
      </c>
      <c r="V157" s="15">
        <v>1.4887000000000001</v>
      </c>
      <c r="W157" s="5">
        <v>1</v>
      </c>
      <c r="X157" s="7">
        <v>3.7128000000000001</v>
      </c>
      <c r="Y157" s="17">
        <v>2566</v>
      </c>
      <c r="Z157" s="14">
        <v>42</v>
      </c>
      <c r="AA157" s="5">
        <v>0</v>
      </c>
      <c r="AB157" s="9">
        <v>1.7147310989867499E-2</v>
      </c>
      <c r="AC157" s="7">
        <v>0</v>
      </c>
    </row>
    <row r="158" spans="18:29">
      <c r="R158" t="s">
        <v>543</v>
      </c>
      <c r="S158" s="18">
        <v>154</v>
      </c>
      <c r="T158" s="14">
        <v>35647865</v>
      </c>
      <c r="U158" s="5">
        <v>13087</v>
      </c>
      <c r="V158" s="15">
        <v>0.94083622752723062</v>
      </c>
      <c r="W158" s="5">
        <v>1789</v>
      </c>
      <c r="X158" s="7">
        <v>100810.21260000003</v>
      </c>
      <c r="Y158" s="17">
        <v>231479.64285714287</v>
      </c>
      <c r="Z158" s="14">
        <v>455121</v>
      </c>
      <c r="AA158" s="5">
        <v>39378</v>
      </c>
      <c r="AB158" s="9">
        <v>1.3184436150664282E-2</v>
      </c>
      <c r="AC158" s="7">
        <v>1.1046383843744918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9720-B1B5-4AB1-97D4-B3C9FDDD68F4}">
  <dimension ref="A1:S155"/>
  <sheetViews>
    <sheetView zoomScale="85" zoomScaleNormal="85" workbookViewId="0">
      <selection sqref="A1:R155"/>
    </sheetView>
  </sheetViews>
  <sheetFormatPr defaultRowHeight="15"/>
  <cols>
    <col min="1" max="1" width="15.28515625" bestFit="1" customWidth="1"/>
    <col min="2" max="2" width="55.42578125" bestFit="1" customWidth="1"/>
    <col min="3" max="3" width="28.140625" bestFit="1" customWidth="1"/>
    <col min="4" max="4" width="18.5703125" bestFit="1" customWidth="1"/>
    <col min="5" max="5" width="11.5703125" bestFit="1" customWidth="1"/>
    <col min="6" max="6" width="22.5703125" bestFit="1" customWidth="1"/>
    <col min="7" max="7" width="13.5703125" bestFit="1" customWidth="1"/>
    <col min="8" max="8" width="18.42578125" bestFit="1" customWidth="1"/>
    <col min="9" max="9" width="34.85546875" bestFit="1" customWidth="1"/>
    <col min="10" max="10" width="15.42578125" bestFit="1" customWidth="1"/>
    <col min="11" max="11" width="22.28515625" bestFit="1" customWidth="1"/>
    <col min="12" max="12" width="11.42578125" customWidth="1"/>
    <col min="13" max="13" width="20.85546875" bestFit="1" customWidth="1"/>
    <col min="14" max="14" width="26.140625" bestFit="1" customWidth="1"/>
    <col min="15" max="15" width="30.28515625" bestFit="1" customWidth="1"/>
    <col min="16" max="16" width="11.85546875" bestFit="1" customWidth="1"/>
    <col min="17" max="17" width="23.85546875" bestFit="1" customWidth="1"/>
    <col min="18" max="18" width="14.5703125" bestFit="1" customWidth="1"/>
    <col min="19" max="19" width="64.7109375" bestFit="1" customWidth="1"/>
    <col min="20" max="20" width="12" bestFit="1" customWidth="1"/>
  </cols>
  <sheetData>
    <row r="1" spans="1:19">
      <c r="A1" t="s">
        <v>223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20</v>
      </c>
      <c r="I1" t="s">
        <v>230</v>
      </c>
      <c r="J1" t="s">
        <v>1</v>
      </c>
      <c r="K1" t="s">
        <v>2</v>
      </c>
      <c r="L1" t="s">
        <v>231</v>
      </c>
      <c r="M1" t="s">
        <v>232</v>
      </c>
      <c r="N1" t="s">
        <v>3</v>
      </c>
      <c r="O1" t="s">
        <v>4</v>
      </c>
      <c r="P1" t="s">
        <v>536</v>
      </c>
      <c r="Q1" t="s">
        <v>545</v>
      </c>
      <c r="R1" t="s">
        <v>547</v>
      </c>
      <c r="S1" t="s">
        <v>561</v>
      </c>
    </row>
    <row r="2" spans="1:19">
      <c r="A2" t="s">
        <v>472</v>
      </c>
      <c r="B2" t="s">
        <v>473</v>
      </c>
      <c r="C2" s="4">
        <v>45861</v>
      </c>
      <c r="D2">
        <v>59</v>
      </c>
      <c r="E2" s="5">
        <v>2</v>
      </c>
      <c r="F2" s="6">
        <v>8</v>
      </c>
      <c r="G2" s="3">
        <v>70</v>
      </c>
      <c r="H2">
        <v>43</v>
      </c>
      <c r="I2" s="10">
        <v>0.7298</v>
      </c>
      <c r="J2" s="3">
        <v>2231</v>
      </c>
      <c r="K2" s="7">
        <v>15.2788</v>
      </c>
      <c r="L2" s="5">
        <v>4</v>
      </c>
      <c r="M2" s="8"/>
      <c r="N2" s="5">
        <v>1070</v>
      </c>
      <c r="O2" s="9">
        <v>8.5999999999999993E-2</v>
      </c>
      <c r="P2" t="s">
        <v>538</v>
      </c>
      <c r="Q2">
        <v>1628.1838</v>
      </c>
      <c r="R2">
        <v>1</v>
      </c>
      <c r="S2" s="18" t="s">
        <v>563</v>
      </c>
    </row>
    <row r="3" spans="1:19">
      <c r="A3" t="s">
        <v>474</v>
      </c>
      <c r="B3" t="s">
        <v>475</v>
      </c>
      <c r="C3" s="4">
        <v>45862</v>
      </c>
      <c r="D3">
        <v>24</v>
      </c>
      <c r="E3" s="5">
        <v>2</v>
      </c>
      <c r="F3" s="6">
        <v>1</v>
      </c>
      <c r="G3" s="3">
        <v>27</v>
      </c>
      <c r="H3">
        <v>23</v>
      </c>
      <c r="I3" s="10">
        <v>0.96050000000000002</v>
      </c>
      <c r="J3" s="3">
        <v>1782</v>
      </c>
      <c r="K3" s="7">
        <v>4.5179999999999998</v>
      </c>
      <c r="L3" s="5">
        <v>0</v>
      </c>
      <c r="M3" s="8">
        <v>0</v>
      </c>
      <c r="N3" s="5">
        <v>1746</v>
      </c>
      <c r="O3" s="9">
        <v>3.3799999999999997E-2</v>
      </c>
      <c r="P3" t="s">
        <v>537</v>
      </c>
      <c r="Q3">
        <v>1711.6110000000001</v>
      </c>
      <c r="R3">
        <v>1</v>
      </c>
      <c r="S3" s="18" t="s">
        <v>565</v>
      </c>
    </row>
    <row r="4" spans="1:19">
      <c r="A4" t="s">
        <v>468</v>
      </c>
      <c r="B4" t="s">
        <v>469</v>
      </c>
      <c r="C4" s="4">
        <v>45863</v>
      </c>
      <c r="D4">
        <v>39</v>
      </c>
      <c r="E4" s="5">
        <v>2</v>
      </c>
      <c r="F4" s="6">
        <v>4</v>
      </c>
      <c r="G4" s="3">
        <v>36</v>
      </c>
      <c r="H4">
        <v>31</v>
      </c>
      <c r="I4" s="10">
        <v>0.81079999999999997</v>
      </c>
      <c r="J4" s="3">
        <v>1363</v>
      </c>
      <c r="K4" s="7">
        <v>5.1050000000000004</v>
      </c>
      <c r="L4" s="5">
        <v>2</v>
      </c>
      <c r="M4" s="8"/>
      <c r="N4" s="5">
        <v>1052</v>
      </c>
      <c r="O4" s="9">
        <v>4.2799999999999998E-2</v>
      </c>
      <c r="P4" t="s">
        <v>538</v>
      </c>
      <c r="Q4">
        <v>1105.1204</v>
      </c>
      <c r="R4">
        <v>1</v>
      </c>
      <c r="S4" s="18" t="s">
        <v>567</v>
      </c>
    </row>
    <row r="5" spans="1:19">
      <c r="A5" t="s">
        <v>526</v>
      </c>
      <c r="B5" t="s">
        <v>527</v>
      </c>
      <c r="C5" s="4">
        <v>45864</v>
      </c>
      <c r="D5">
        <v>17</v>
      </c>
      <c r="E5" s="5">
        <v>0</v>
      </c>
      <c r="F5" s="6">
        <v>1</v>
      </c>
      <c r="G5" s="3">
        <v>34</v>
      </c>
      <c r="H5">
        <v>17</v>
      </c>
      <c r="I5" s="10">
        <v>1.0166999999999999</v>
      </c>
      <c r="J5" s="3">
        <v>1485</v>
      </c>
      <c r="K5" s="7">
        <v>2.9961000000000002</v>
      </c>
      <c r="L5" s="5">
        <v>0</v>
      </c>
      <c r="M5" s="8"/>
      <c r="N5" s="5">
        <v>1748</v>
      </c>
      <c r="O5" s="9">
        <v>1.43E-2</v>
      </c>
      <c r="P5" t="s">
        <v>537</v>
      </c>
      <c r="Q5">
        <v>1509.7994999999999</v>
      </c>
      <c r="R5">
        <v>1</v>
      </c>
      <c r="S5" s="18" t="s">
        <v>569</v>
      </c>
    </row>
    <row r="6" spans="1:19">
      <c r="A6" t="s">
        <v>518</v>
      </c>
      <c r="B6" t="s">
        <v>519</v>
      </c>
      <c r="C6" s="4">
        <v>45865</v>
      </c>
      <c r="D6">
        <v>24</v>
      </c>
      <c r="E6" s="5">
        <v>0</v>
      </c>
      <c r="F6" s="6">
        <v>6</v>
      </c>
      <c r="G6" s="3">
        <v>27</v>
      </c>
      <c r="H6">
        <v>21</v>
      </c>
      <c r="I6" s="10">
        <v>0.87939999999999996</v>
      </c>
      <c r="J6" s="3">
        <v>1517</v>
      </c>
      <c r="K6" s="7">
        <v>4.1623999999999999</v>
      </c>
      <c r="L6" s="5">
        <v>2</v>
      </c>
      <c r="M6" s="8"/>
      <c r="N6" s="5">
        <v>1284</v>
      </c>
      <c r="O6" s="9">
        <v>1.4E-2</v>
      </c>
      <c r="P6" t="s">
        <v>539</v>
      </c>
      <c r="Q6">
        <v>1334.0498</v>
      </c>
      <c r="R6">
        <v>1</v>
      </c>
      <c r="S6" s="18" t="s">
        <v>571</v>
      </c>
    </row>
    <row r="7" spans="1:19">
      <c r="A7" t="s">
        <v>524</v>
      </c>
      <c r="B7" t="s">
        <v>525</v>
      </c>
      <c r="C7" s="4">
        <v>45866</v>
      </c>
      <c r="D7">
        <v>14</v>
      </c>
      <c r="E7" s="5">
        <v>0</v>
      </c>
      <c r="F7" s="6">
        <v>5</v>
      </c>
      <c r="G7" s="3">
        <v>35</v>
      </c>
      <c r="H7">
        <v>12</v>
      </c>
      <c r="I7" s="10">
        <v>0.874</v>
      </c>
      <c r="J7" s="3">
        <v>1434</v>
      </c>
      <c r="K7" s="7">
        <v>2.0903999999999998</v>
      </c>
      <c r="L7" s="5">
        <v>1</v>
      </c>
      <c r="M7" s="8"/>
      <c r="N7" s="5">
        <v>1402</v>
      </c>
      <c r="O7" s="9">
        <v>0.01</v>
      </c>
      <c r="P7" t="s">
        <v>539</v>
      </c>
      <c r="Q7">
        <v>1253.3160000000003</v>
      </c>
      <c r="R7">
        <v>1</v>
      </c>
      <c r="S7" s="18" t="s">
        <v>573</v>
      </c>
    </row>
    <row r="8" spans="1:19">
      <c r="A8" t="s">
        <v>470</v>
      </c>
      <c r="B8" t="s">
        <v>471</v>
      </c>
      <c r="C8" s="4">
        <v>45867</v>
      </c>
      <c r="D8">
        <v>49</v>
      </c>
      <c r="E8" s="5">
        <v>2</v>
      </c>
      <c r="F8" s="6">
        <v>2</v>
      </c>
      <c r="G8" s="3">
        <v>38</v>
      </c>
      <c r="H8">
        <v>27</v>
      </c>
      <c r="I8" s="10">
        <v>0.5625</v>
      </c>
      <c r="J8" s="3">
        <v>1713</v>
      </c>
      <c r="K8" s="7">
        <v>7.2990000000000004</v>
      </c>
      <c r="L8" s="5">
        <v>1</v>
      </c>
      <c r="M8" s="8"/>
      <c r="N8" s="5">
        <v>1444</v>
      </c>
      <c r="O8" s="9">
        <v>5.6800000000000003E-2</v>
      </c>
      <c r="P8" t="s">
        <v>537</v>
      </c>
      <c r="Q8">
        <v>963.5625</v>
      </c>
      <c r="R8">
        <v>1</v>
      </c>
      <c r="S8" s="18" t="s">
        <v>575</v>
      </c>
    </row>
    <row r="9" spans="1:19">
      <c r="A9" t="s">
        <v>460</v>
      </c>
      <c r="B9" t="s">
        <v>461</v>
      </c>
      <c r="C9" s="4">
        <v>45868</v>
      </c>
      <c r="D9">
        <v>12</v>
      </c>
      <c r="E9" s="5">
        <v>3</v>
      </c>
      <c r="F9" s="6">
        <v>6</v>
      </c>
      <c r="G9" s="3">
        <v>46</v>
      </c>
      <c r="H9">
        <v>14</v>
      </c>
      <c r="I9" s="10">
        <v>1.2273000000000001</v>
      </c>
      <c r="J9" s="3">
        <v>2334</v>
      </c>
      <c r="K9" s="7">
        <v>4.3037999999999998</v>
      </c>
      <c r="L9" s="5">
        <v>2</v>
      </c>
      <c r="M9" s="8"/>
      <c r="N9" s="5">
        <v>1568</v>
      </c>
      <c r="O9" s="9">
        <v>3.0599999999999999E-2</v>
      </c>
      <c r="P9" t="s">
        <v>539</v>
      </c>
      <c r="Q9">
        <v>2864.5182</v>
      </c>
      <c r="R9">
        <v>1</v>
      </c>
      <c r="S9" s="18" t="s">
        <v>577</v>
      </c>
    </row>
    <row r="10" spans="1:19">
      <c r="A10" t="s">
        <v>446</v>
      </c>
      <c r="B10" t="s">
        <v>447</v>
      </c>
      <c r="C10" s="4">
        <v>45869</v>
      </c>
      <c r="D10">
        <v>23</v>
      </c>
      <c r="E10" s="5">
        <v>4</v>
      </c>
      <c r="F10" s="6">
        <v>3</v>
      </c>
      <c r="G10" s="3">
        <v>36</v>
      </c>
      <c r="H10">
        <v>21</v>
      </c>
      <c r="I10" s="10">
        <v>0.9294</v>
      </c>
      <c r="J10" s="3">
        <v>1885</v>
      </c>
      <c r="K10" s="7">
        <v>5.7728000000000002</v>
      </c>
      <c r="L10" s="5">
        <v>1</v>
      </c>
      <c r="M10" s="8"/>
      <c r="N10" s="5">
        <v>1594</v>
      </c>
      <c r="O10" s="9">
        <v>1.44E-2</v>
      </c>
      <c r="P10" t="s">
        <v>538</v>
      </c>
      <c r="Q10">
        <v>1751.9190000000001</v>
      </c>
      <c r="R10">
        <v>1</v>
      </c>
      <c r="S10" s="18" t="s">
        <v>579</v>
      </c>
    </row>
    <row r="11" spans="1:19">
      <c r="A11" t="s">
        <v>428</v>
      </c>
      <c r="B11" t="s">
        <v>429</v>
      </c>
      <c r="C11" s="4">
        <v>45872</v>
      </c>
      <c r="D11">
        <v>27</v>
      </c>
      <c r="E11" s="5">
        <v>5</v>
      </c>
      <c r="F11" s="6">
        <v>5</v>
      </c>
      <c r="G11" s="3">
        <v>53</v>
      </c>
      <c r="H11">
        <v>22</v>
      </c>
      <c r="I11" s="10">
        <v>0.83050000000000002</v>
      </c>
      <c r="J11" s="3">
        <v>2466</v>
      </c>
      <c r="K11" s="7">
        <v>8.2111000000000001</v>
      </c>
      <c r="L11" s="5">
        <v>2</v>
      </c>
      <c r="M11" s="8"/>
      <c r="N11" s="5">
        <v>1724</v>
      </c>
      <c r="O11" s="9">
        <v>1.9099999999999999E-2</v>
      </c>
      <c r="P11" t="s">
        <v>539</v>
      </c>
      <c r="Q11">
        <v>2048.0129999999999</v>
      </c>
      <c r="R11">
        <v>1</v>
      </c>
      <c r="S11" s="18" t="s">
        <v>581</v>
      </c>
    </row>
    <row r="12" spans="1:19">
      <c r="A12" t="s">
        <v>498</v>
      </c>
      <c r="B12" t="s">
        <v>499</v>
      </c>
      <c r="C12" s="4">
        <v>45873</v>
      </c>
      <c r="D12">
        <v>9</v>
      </c>
      <c r="E12" s="5">
        <v>1</v>
      </c>
      <c r="F12" s="6">
        <v>1</v>
      </c>
      <c r="G12" s="3">
        <v>42</v>
      </c>
      <c r="H12">
        <v>13</v>
      </c>
      <c r="I12" s="10">
        <v>1.4886999999999999</v>
      </c>
      <c r="J12" s="3">
        <v>2566</v>
      </c>
      <c r="K12" s="7">
        <v>3.7128000000000001</v>
      </c>
      <c r="L12" s="5">
        <v>0</v>
      </c>
      <c r="M12" s="8"/>
      <c r="N12" s="5">
        <v>1749</v>
      </c>
      <c r="O12" s="9">
        <v>2.8000000000000001E-2</v>
      </c>
      <c r="P12" t="s">
        <v>538</v>
      </c>
      <c r="Q12">
        <v>3820.0042000000003</v>
      </c>
      <c r="R12">
        <v>1</v>
      </c>
      <c r="S12" s="18" t="s">
        <v>583</v>
      </c>
    </row>
    <row r="13" spans="1:19">
      <c r="A13" t="s">
        <v>372</v>
      </c>
      <c r="B13" t="s">
        <v>373</v>
      </c>
      <c r="C13" s="4">
        <v>45881</v>
      </c>
      <c r="D13">
        <v>37</v>
      </c>
      <c r="E13" s="5">
        <v>9</v>
      </c>
      <c r="F13" s="6">
        <v>6</v>
      </c>
      <c r="G13" s="3">
        <v>149</v>
      </c>
      <c r="H13">
        <v>27</v>
      </c>
      <c r="I13" s="10">
        <v>0.73899999999999999</v>
      </c>
      <c r="J13" s="3">
        <v>7539</v>
      </c>
      <c r="K13" s="7">
        <v>28.228000000000002</v>
      </c>
      <c r="L13" s="5">
        <v>6</v>
      </c>
      <c r="M13" s="8">
        <v>0</v>
      </c>
      <c r="N13" s="5">
        <v>4656</v>
      </c>
      <c r="O13" s="9">
        <v>1.2E-2</v>
      </c>
      <c r="P13" t="s">
        <v>539</v>
      </c>
      <c r="Q13">
        <v>5571.3210000000008</v>
      </c>
      <c r="R13">
        <v>1</v>
      </c>
      <c r="S13" s="18" t="s">
        <v>585</v>
      </c>
    </row>
    <row r="14" spans="1:19">
      <c r="A14" t="s">
        <v>301</v>
      </c>
      <c r="B14" t="s">
        <v>302</v>
      </c>
      <c r="C14" s="4">
        <v>45883</v>
      </c>
      <c r="D14">
        <v>20</v>
      </c>
      <c r="E14" s="5">
        <v>24</v>
      </c>
      <c r="F14" s="6">
        <v>10</v>
      </c>
      <c r="G14" s="3">
        <v>886</v>
      </c>
      <c r="H14">
        <v>20</v>
      </c>
      <c r="I14" s="10">
        <v>1.0416000000000001</v>
      </c>
      <c r="J14" s="3">
        <v>47587</v>
      </c>
      <c r="K14" s="7">
        <v>120.1973</v>
      </c>
      <c r="L14" s="5">
        <v>229</v>
      </c>
      <c r="M14" s="8"/>
      <c r="N14" s="5">
        <v>4597</v>
      </c>
      <c r="O14" s="9">
        <v>4.24E-2</v>
      </c>
      <c r="P14" t="s">
        <v>540</v>
      </c>
      <c r="Q14">
        <v>49566.619199999994</v>
      </c>
      <c r="R14">
        <v>1</v>
      </c>
      <c r="S14" s="18" t="s">
        <v>587</v>
      </c>
    </row>
    <row r="15" spans="1:19">
      <c r="A15" t="s">
        <v>295</v>
      </c>
      <c r="B15" t="s">
        <v>296</v>
      </c>
      <c r="C15" s="4">
        <v>45885</v>
      </c>
      <c r="D15">
        <v>21</v>
      </c>
      <c r="E15" s="5">
        <v>25</v>
      </c>
      <c r="F15" s="6">
        <v>7</v>
      </c>
      <c r="G15" s="3">
        <v>727</v>
      </c>
      <c r="H15">
        <v>19</v>
      </c>
      <c r="I15" s="10">
        <v>0.95069999999999999</v>
      </c>
      <c r="J15" s="3">
        <v>39641</v>
      </c>
      <c r="K15" s="7">
        <v>120.4915</v>
      </c>
      <c r="L15" s="5">
        <v>221</v>
      </c>
      <c r="M15" s="8">
        <v>0</v>
      </c>
      <c r="N15" s="5">
        <v>3541</v>
      </c>
      <c r="O15" s="9">
        <v>1.47E-2</v>
      </c>
      <c r="P15" t="s">
        <v>540</v>
      </c>
      <c r="Q15">
        <v>37686.698699999994</v>
      </c>
      <c r="R15">
        <v>1</v>
      </c>
      <c r="S15" s="18" t="s">
        <v>589</v>
      </c>
    </row>
    <row r="16" spans="1:19">
      <c r="A16" t="s">
        <v>233</v>
      </c>
      <c r="B16" t="s">
        <v>234</v>
      </c>
      <c r="C16" s="4">
        <v>45886</v>
      </c>
      <c r="D16">
        <v>20</v>
      </c>
      <c r="E16" s="5">
        <v>7685</v>
      </c>
      <c r="F16" s="6">
        <v>897</v>
      </c>
      <c r="G16" s="3">
        <v>136208</v>
      </c>
      <c r="H16">
        <v>19</v>
      </c>
      <c r="I16" s="10">
        <v>0.97470000000000001</v>
      </c>
      <c r="J16" s="3">
        <v>9245082</v>
      </c>
      <c r="K16" s="7">
        <v>26190.434099999999</v>
      </c>
      <c r="L16" s="5">
        <v>24182</v>
      </c>
      <c r="M16" s="8">
        <v>2E-3</v>
      </c>
      <c r="N16" s="5">
        <v>89932</v>
      </c>
      <c r="O16" s="9">
        <v>3.78E-2</v>
      </c>
      <c r="P16" t="s">
        <v>540</v>
      </c>
      <c r="Q16">
        <v>9011181.4254000001</v>
      </c>
      <c r="R16">
        <v>1</v>
      </c>
      <c r="S16" s="18" t="s">
        <v>562</v>
      </c>
    </row>
    <row r="17" spans="1:19">
      <c r="A17" t="s">
        <v>283</v>
      </c>
      <c r="B17" t="s">
        <v>284</v>
      </c>
      <c r="C17" s="4">
        <v>45887</v>
      </c>
      <c r="D17">
        <v>15</v>
      </c>
      <c r="E17" s="5">
        <v>27</v>
      </c>
      <c r="F17" s="6">
        <v>12</v>
      </c>
      <c r="G17" s="3">
        <v>606</v>
      </c>
      <c r="H17">
        <v>15</v>
      </c>
      <c r="I17" s="10">
        <v>1</v>
      </c>
      <c r="J17" s="3">
        <v>20670</v>
      </c>
      <c r="K17" s="7">
        <v>43.718299999999999</v>
      </c>
      <c r="L17" s="5">
        <v>52</v>
      </c>
      <c r="M17" s="8"/>
      <c r="N17" s="5">
        <v>4335</v>
      </c>
      <c r="O17" s="9">
        <v>3.1099999999999999E-2</v>
      </c>
      <c r="P17" t="s">
        <v>538</v>
      </c>
      <c r="Q17">
        <v>20670</v>
      </c>
      <c r="R17">
        <v>1</v>
      </c>
      <c r="S17" s="18" t="s">
        <v>592</v>
      </c>
    </row>
    <row r="18" spans="1:19">
      <c r="A18" t="s">
        <v>253</v>
      </c>
      <c r="B18" t="s">
        <v>254</v>
      </c>
      <c r="C18" s="4">
        <v>45888</v>
      </c>
      <c r="D18">
        <v>20</v>
      </c>
      <c r="E18" s="5">
        <v>85</v>
      </c>
      <c r="F18" s="6">
        <v>12</v>
      </c>
      <c r="G18" s="3">
        <v>2142</v>
      </c>
      <c r="H18">
        <v>18</v>
      </c>
      <c r="I18" s="10">
        <v>0.93100000000000005</v>
      </c>
      <c r="J18" s="3">
        <v>97694</v>
      </c>
      <c r="K18" s="7">
        <v>253.0812</v>
      </c>
      <c r="L18" s="5">
        <v>357</v>
      </c>
      <c r="M18" s="8"/>
      <c r="N18" s="5">
        <v>8653</v>
      </c>
      <c r="O18" s="9">
        <v>2.7E-2</v>
      </c>
      <c r="P18" t="s">
        <v>540</v>
      </c>
      <c r="Q18">
        <v>90953.113999999987</v>
      </c>
      <c r="R18">
        <v>1</v>
      </c>
      <c r="S18" s="18" t="s">
        <v>582</v>
      </c>
    </row>
    <row r="19" spans="1:19">
      <c r="A19" t="s">
        <v>239</v>
      </c>
      <c r="B19" t="s">
        <v>240</v>
      </c>
      <c r="C19" s="4">
        <v>45889</v>
      </c>
      <c r="D19">
        <v>23</v>
      </c>
      <c r="E19" s="5">
        <v>196</v>
      </c>
      <c r="F19" s="6">
        <v>26</v>
      </c>
      <c r="G19" s="3">
        <v>3897</v>
      </c>
      <c r="H19">
        <v>24</v>
      </c>
      <c r="I19" s="10">
        <v>1.0848</v>
      </c>
      <c r="J19" s="3">
        <v>448417</v>
      </c>
      <c r="K19" s="7">
        <v>1508.5156999999999</v>
      </c>
      <c r="L19" s="5">
        <v>935</v>
      </c>
      <c r="M19" s="8">
        <v>0</v>
      </c>
      <c r="N19" s="5">
        <v>20112</v>
      </c>
      <c r="O19" s="9">
        <v>5.8200000000000002E-2</v>
      </c>
      <c r="P19" t="s">
        <v>540</v>
      </c>
      <c r="Q19">
        <v>486442.76159999997</v>
      </c>
      <c r="R19">
        <v>1</v>
      </c>
      <c r="S19" s="18" t="s">
        <v>568</v>
      </c>
    </row>
    <row r="20" spans="1:19">
      <c r="A20" t="s">
        <v>458</v>
      </c>
      <c r="B20" t="s">
        <v>459</v>
      </c>
      <c r="C20" s="4">
        <v>45890</v>
      </c>
      <c r="D20">
        <v>21</v>
      </c>
      <c r="E20" s="5">
        <v>3</v>
      </c>
      <c r="F20" s="6">
        <v>9</v>
      </c>
      <c r="G20" s="3">
        <v>436</v>
      </c>
      <c r="H20">
        <v>21</v>
      </c>
      <c r="I20" s="10">
        <v>1.0081</v>
      </c>
      <c r="J20" s="3">
        <v>26843</v>
      </c>
      <c r="K20" s="7">
        <v>74.338499999999996</v>
      </c>
      <c r="L20" s="5">
        <v>57</v>
      </c>
      <c r="M20" s="8"/>
      <c r="N20" s="5">
        <v>5753</v>
      </c>
      <c r="O20" s="9">
        <v>3.6499999999999998E-2</v>
      </c>
      <c r="P20" t="s">
        <v>537</v>
      </c>
      <c r="Q20">
        <v>27060.4283</v>
      </c>
      <c r="R20">
        <v>1</v>
      </c>
      <c r="S20" s="18" t="s">
        <v>596</v>
      </c>
    </row>
    <row r="21" spans="1:19">
      <c r="A21" t="s">
        <v>275</v>
      </c>
      <c r="B21" t="s">
        <v>276</v>
      </c>
      <c r="C21" s="4">
        <v>45891</v>
      </c>
      <c r="D21">
        <v>23</v>
      </c>
      <c r="E21" s="5">
        <v>32</v>
      </c>
      <c r="F21" s="6">
        <v>8</v>
      </c>
      <c r="G21" s="3">
        <v>808</v>
      </c>
      <c r="H21">
        <v>22</v>
      </c>
      <c r="I21" s="10">
        <v>0.98209999999999997</v>
      </c>
      <c r="J21" s="3">
        <v>37864</v>
      </c>
      <c r="K21" s="7">
        <v>121.795</v>
      </c>
      <c r="L21" s="5">
        <v>139</v>
      </c>
      <c r="M21" s="8"/>
      <c r="N21" s="5">
        <v>7943</v>
      </c>
      <c r="O21" s="9">
        <v>4.82E-2</v>
      </c>
      <c r="P21" t="s">
        <v>540</v>
      </c>
      <c r="Q21">
        <v>37186.234400000001</v>
      </c>
      <c r="R21">
        <v>1</v>
      </c>
      <c r="S21" s="18" t="s">
        <v>598</v>
      </c>
    </row>
    <row r="22" spans="1:19">
      <c r="A22" t="s">
        <v>297</v>
      </c>
      <c r="B22" t="s">
        <v>298</v>
      </c>
      <c r="C22" s="4">
        <v>45892</v>
      </c>
      <c r="D22">
        <v>23</v>
      </c>
      <c r="E22" s="5">
        <v>24</v>
      </c>
      <c r="F22" s="6">
        <v>5</v>
      </c>
      <c r="G22" s="3">
        <v>734</v>
      </c>
      <c r="H22">
        <v>21</v>
      </c>
      <c r="I22" s="10">
        <v>0.9425</v>
      </c>
      <c r="J22" s="3">
        <v>35963</v>
      </c>
      <c r="K22" s="7">
        <v>107.2136</v>
      </c>
      <c r="L22" s="5">
        <v>95</v>
      </c>
      <c r="M22" s="8"/>
      <c r="N22" s="5">
        <v>5233</v>
      </c>
      <c r="O22" s="9">
        <v>4.2000000000000003E-2</v>
      </c>
      <c r="P22" t="s">
        <v>540</v>
      </c>
      <c r="Q22">
        <v>33895.127500000002</v>
      </c>
      <c r="R22">
        <v>1</v>
      </c>
      <c r="S22" s="18" t="s">
        <v>600</v>
      </c>
    </row>
    <row r="23" spans="1:19">
      <c r="A23" t="s">
        <v>311</v>
      </c>
      <c r="B23" t="s">
        <v>312</v>
      </c>
      <c r="C23" s="4">
        <v>45893</v>
      </c>
      <c r="D23">
        <v>35</v>
      </c>
      <c r="E23" s="5">
        <v>20</v>
      </c>
      <c r="F23" s="6">
        <v>17</v>
      </c>
      <c r="G23" s="3">
        <v>1509</v>
      </c>
      <c r="H23">
        <v>30</v>
      </c>
      <c r="I23" s="10">
        <v>0.86229999999999996</v>
      </c>
      <c r="J23" s="3">
        <v>39663</v>
      </c>
      <c r="K23" s="7">
        <v>179.5077</v>
      </c>
      <c r="L23" s="5">
        <v>252</v>
      </c>
      <c r="M23" s="8"/>
      <c r="N23" s="5">
        <v>5513</v>
      </c>
      <c r="O23" s="9">
        <v>4.1000000000000002E-2</v>
      </c>
      <c r="P23" t="s">
        <v>540</v>
      </c>
      <c r="Q23">
        <v>34201.404900000001</v>
      </c>
      <c r="R23">
        <v>1</v>
      </c>
      <c r="S23" s="18" t="s">
        <v>601</v>
      </c>
    </row>
    <row r="24" spans="1:19">
      <c r="A24" t="s">
        <v>289</v>
      </c>
      <c r="B24" t="s">
        <v>290</v>
      </c>
      <c r="C24" s="4">
        <v>45894</v>
      </c>
      <c r="D24">
        <v>24</v>
      </c>
      <c r="E24" s="5">
        <v>27</v>
      </c>
      <c r="F24" s="6">
        <v>3</v>
      </c>
      <c r="G24" s="3">
        <v>986</v>
      </c>
      <c r="H24">
        <v>22</v>
      </c>
      <c r="I24" s="10">
        <v>0.92559999999999998</v>
      </c>
      <c r="J24" s="3">
        <v>34285</v>
      </c>
      <c r="K24" s="7">
        <v>106.7115</v>
      </c>
      <c r="L24" s="5">
        <v>131</v>
      </c>
      <c r="M24" s="8"/>
      <c r="N24" s="5">
        <v>8325</v>
      </c>
      <c r="O24" s="9">
        <v>5.96E-2</v>
      </c>
      <c r="P24" t="s">
        <v>540</v>
      </c>
      <c r="Q24">
        <v>31734.196</v>
      </c>
      <c r="R24">
        <v>1</v>
      </c>
      <c r="S24" s="18" t="s">
        <v>603</v>
      </c>
    </row>
    <row r="25" spans="1:19">
      <c r="A25" t="s">
        <v>271</v>
      </c>
      <c r="B25" t="s">
        <v>272</v>
      </c>
      <c r="C25" s="4">
        <v>45895</v>
      </c>
      <c r="D25">
        <v>24</v>
      </c>
      <c r="E25" s="5">
        <v>38</v>
      </c>
      <c r="F25" s="6">
        <v>3</v>
      </c>
      <c r="G25" s="3">
        <v>811</v>
      </c>
      <c r="H25">
        <v>21</v>
      </c>
      <c r="I25" s="10">
        <v>0.89029999999999998</v>
      </c>
      <c r="J25" s="3">
        <v>37514</v>
      </c>
      <c r="K25" s="7">
        <v>126.2915</v>
      </c>
      <c r="L25" s="5">
        <v>75</v>
      </c>
      <c r="M25" s="8"/>
      <c r="N25" s="5">
        <v>5337</v>
      </c>
      <c r="O25" s="9">
        <v>4.7600000000000003E-2</v>
      </c>
      <c r="P25" t="s">
        <v>540</v>
      </c>
      <c r="Q25">
        <v>33398.714200000002</v>
      </c>
      <c r="R25">
        <v>1</v>
      </c>
      <c r="S25" s="18" t="s">
        <v>597</v>
      </c>
    </row>
    <row r="26" spans="1:19">
      <c r="A26" t="s">
        <v>299</v>
      </c>
      <c r="B26" t="s">
        <v>300</v>
      </c>
      <c r="C26" s="4">
        <v>45896</v>
      </c>
      <c r="D26">
        <v>24</v>
      </c>
      <c r="E26" s="5">
        <v>24</v>
      </c>
      <c r="F26" s="6">
        <v>5</v>
      </c>
      <c r="G26" s="3">
        <v>755</v>
      </c>
      <c r="H26">
        <v>22</v>
      </c>
      <c r="I26" s="10">
        <v>0.92220000000000002</v>
      </c>
      <c r="J26" s="3">
        <v>34484</v>
      </c>
      <c r="K26" s="7">
        <v>109.9778</v>
      </c>
      <c r="L26" s="5">
        <v>86</v>
      </c>
      <c r="M26" s="8"/>
      <c r="N26" s="5">
        <v>6573</v>
      </c>
      <c r="O26" s="9">
        <v>8.2799999999999999E-2</v>
      </c>
      <c r="P26" t="s">
        <v>540</v>
      </c>
      <c r="Q26">
        <v>31801.144800000002</v>
      </c>
      <c r="R26">
        <v>1</v>
      </c>
      <c r="S26" s="18" t="s">
        <v>606</v>
      </c>
    </row>
    <row r="27" spans="1:19">
      <c r="A27" t="s">
        <v>406</v>
      </c>
      <c r="B27" t="s">
        <v>407</v>
      </c>
      <c r="C27" s="4">
        <v>45897</v>
      </c>
      <c r="D27">
        <v>24</v>
      </c>
      <c r="E27" s="5">
        <v>7</v>
      </c>
      <c r="F27" s="6">
        <v>3</v>
      </c>
      <c r="G27" s="3">
        <v>281</v>
      </c>
      <c r="H27">
        <v>19</v>
      </c>
      <c r="I27" s="10">
        <v>0.8115</v>
      </c>
      <c r="J27" s="3">
        <v>21686</v>
      </c>
      <c r="K27" s="7">
        <v>69.346199999999996</v>
      </c>
      <c r="L27" s="5">
        <v>39</v>
      </c>
      <c r="M27" s="8"/>
      <c r="N27" s="5">
        <v>3483</v>
      </c>
      <c r="O27" s="9">
        <v>4.2799999999999998E-2</v>
      </c>
      <c r="P27" t="s">
        <v>540</v>
      </c>
      <c r="Q27">
        <v>17598.189000000002</v>
      </c>
      <c r="R27">
        <v>1</v>
      </c>
      <c r="S27" s="18" t="s">
        <v>607</v>
      </c>
    </row>
    <row r="28" spans="1:19">
      <c r="A28" t="s">
        <v>327</v>
      </c>
      <c r="B28" t="s">
        <v>328</v>
      </c>
      <c r="C28" s="4">
        <v>45898</v>
      </c>
      <c r="D28">
        <v>20</v>
      </c>
      <c r="E28" s="5">
        <v>16</v>
      </c>
      <c r="F28" s="6">
        <v>2</v>
      </c>
      <c r="G28" s="3">
        <v>770</v>
      </c>
      <c r="H28">
        <v>19</v>
      </c>
      <c r="I28" s="10">
        <v>0.99390000000000001</v>
      </c>
      <c r="J28" s="3">
        <v>33389</v>
      </c>
      <c r="K28" s="7">
        <v>96.260900000000007</v>
      </c>
      <c r="L28" s="5">
        <v>90</v>
      </c>
      <c r="M28" s="8"/>
      <c r="N28" s="5">
        <v>3868</v>
      </c>
      <c r="O28" s="9">
        <v>4.1099999999999998E-2</v>
      </c>
      <c r="P28" t="s">
        <v>540</v>
      </c>
      <c r="Q28">
        <v>33185.327100000002</v>
      </c>
      <c r="R28">
        <v>1</v>
      </c>
      <c r="S28" s="18" t="s">
        <v>609</v>
      </c>
    </row>
    <row r="29" spans="1:19">
      <c r="A29" t="s">
        <v>317</v>
      </c>
      <c r="B29" t="s">
        <v>318</v>
      </c>
      <c r="C29" s="4">
        <v>45899</v>
      </c>
      <c r="D29">
        <v>20</v>
      </c>
      <c r="E29" s="5">
        <v>19</v>
      </c>
      <c r="F29" s="6">
        <v>2</v>
      </c>
      <c r="G29" s="3">
        <v>733</v>
      </c>
      <c r="H29">
        <v>20</v>
      </c>
      <c r="I29" s="10">
        <v>1.0099</v>
      </c>
      <c r="J29" s="3">
        <v>31710</v>
      </c>
      <c r="K29" s="7">
        <v>89.801900000000003</v>
      </c>
      <c r="L29" s="5">
        <v>156</v>
      </c>
      <c r="M29" s="8"/>
      <c r="N29" s="5">
        <v>3235</v>
      </c>
      <c r="O29" s="9">
        <v>5.1299999999999998E-2</v>
      </c>
      <c r="P29" t="s">
        <v>540</v>
      </c>
      <c r="Q29">
        <v>32023.929</v>
      </c>
      <c r="R29">
        <v>1</v>
      </c>
      <c r="S29" s="18" t="s">
        <v>611</v>
      </c>
    </row>
    <row r="30" spans="1:19">
      <c r="A30" t="s">
        <v>410</v>
      </c>
      <c r="B30" t="s">
        <v>411</v>
      </c>
      <c r="C30" s="4">
        <v>45900</v>
      </c>
      <c r="D30">
        <v>16</v>
      </c>
      <c r="E30" s="5">
        <v>6</v>
      </c>
      <c r="F30" s="6">
        <v>4</v>
      </c>
      <c r="G30" s="3">
        <v>464</v>
      </c>
      <c r="H30">
        <v>15</v>
      </c>
      <c r="I30" s="10">
        <v>0.99270000000000003</v>
      </c>
      <c r="J30" s="3">
        <v>29263</v>
      </c>
      <c r="K30" s="7">
        <v>70.947400000000002</v>
      </c>
      <c r="L30" s="5">
        <v>57</v>
      </c>
      <c r="M30" s="8"/>
      <c r="N30" s="5">
        <v>2717</v>
      </c>
      <c r="O30" s="9">
        <v>5.8500000000000003E-2</v>
      </c>
      <c r="P30" t="s">
        <v>540</v>
      </c>
      <c r="Q30">
        <v>29049.380099999998</v>
      </c>
      <c r="R30">
        <v>1</v>
      </c>
      <c r="S30" s="18" t="s">
        <v>612</v>
      </c>
    </row>
    <row r="31" spans="1:19">
      <c r="A31" t="s">
        <v>337</v>
      </c>
      <c r="B31" t="s">
        <v>338</v>
      </c>
      <c r="C31" s="4">
        <v>45901</v>
      </c>
      <c r="D31">
        <v>20</v>
      </c>
      <c r="E31" s="5">
        <v>14</v>
      </c>
      <c r="F31" s="6">
        <v>1</v>
      </c>
      <c r="G31" s="3">
        <v>678</v>
      </c>
      <c r="H31">
        <v>19</v>
      </c>
      <c r="I31" s="10">
        <v>0.95250000000000001</v>
      </c>
      <c r="J31" s="3">
        <v>31853</v>
      </c>
      <c r="K31" s="7">
        <v>89.251300000000001</v>
      </c>
      <c r="L31" s="5">
        <v>137</v>
      </c>
      <c r="M31" s="8">
        <v>0</v>
      </c>
      <c r="N31" s="5">
        <v>3091</v>
      </c>
      <c r="O31" s="9">
        <v>7.1499999999999994E-2</v>
      </c>
      <c r="P31" t="s">
        <v>540</v>
      </c>
      <c r="Q31">
        <v>30339.982500000002</v>
      </c>
      <c r="R31">
        <v>1</v>
      </c>
      <c r="S31" s="18" t="s">
        <v>614</v>
      </c>
    </row>
    <row r="32" spans="1:19">
      <c r="A32" t="s">
        <v>255</v>
      </c>
      <c r="B32" t="s">
        <v>256</v>
      </c>
      <c r="C32" s="4">
        <v>45902</v>
      </c>
      <c r="D32">
        <v>15</v>
      </c>
      <c r="E32" s="5">
        <v>78</v>
      </c>
      <c r="F32" s="6">
        <v>7</v>
      </c>
      <c r="G32" s="3">
        <v>744</v>
      </c>
      <c r="H32">
        <v>16</v>
      </c>
      <c r="I32" s="10">
        <v>1.1305000000000001</v>
      </c>
      <c r="J32" s="3">
        <v>38295</v>
      </c>
      <c r="K32" s="7">
        <v>92.764399999999995</v>
      </c>
      <c r="L32" s="5">
        <v>110</v>
      </c>
      <c r="M32" s="8"/>
      <c r="N32" s="5">
        <v>3023</v>
      </c>
      <c r="O32" s="9">
        <v>4.5699999999999998E-2</v>
      </c>
      <c r="P32" t="s">
        <v>540</v>
      </c>
      <c r="Q32">
        <v>43292.497500000005</v>
      </c>
      <c r="R32">
        <v>1</v>
      </c>
      <c r="S32" s="18" t="s">
        <v>584</v>
      </c>
    </row>
    <row r="33" spans="1:19">
      <c r="A33" t="s">
        <v>382</v>
      </c>
      <c r="B33" t="s">
        <v>383</v>
      </c>
      <c r="C33" s="4">
        <v>45903</v>
      </c>
      <c r="D33">
        <v>20</v>
      </c>
      <c r="E33" s="5">
        <v>9</v>
      </c>
      <c r="F33" s="6">
        <v>3</v>
      </c>
      <c r="G33" s="3">
        <v>541</v>
      </c>
      <c r="H33">
        <v>19</v>
      </c>
      <c r="I33" s="10">
        <v>0.96850000000000003</v>
      </c>
      <c r="J33" s="3">
        <v>31237</v>
      </c>
      <c r="K33" s="7">
        <v>89.7577</v>
      </c>
      <c r="L33" s="5">
        <v>65</v>
      </c>
      <c r="M33" s="8"/>
      <c r="N33" s="5">
        <v>2477</v>
      </c>
      <c r="O33" s="9">
        <v>3.8399999999999997E-2</v>
      </c>
      <c r="P33" t="s">
        <v>540</v>
      </c>
      <c r="Q33">
        <v>30253.034499999998</v>
      </c>
      <c r="R33">
        <v>1</v>
      </c>
      <c r="S33" s="18" t="s">
        <v>617</v>
      </c>
    </row>
    <row r="34" spans="1:19">
      <c r="A34" t="s">
        <v>359</v>
      </c>
      <c r="B34" t="s">
        <v>360</v>
      </c>
      <c r="C34" s="4">
        <v>45904</v>
      </c>
      <c r="D34">
        <v>18</v>
      </c>
      <c r="E34" s="5">
        <v>11</v>
      </c>
      <c r="F34" s="6">
        <v>5</v>
      </c>
      <c r="G34" s="3">
        <v>486</v>
      </c>
      <c r="H34">
        <v>16</v>
      </c>
      <c r="I34" s="10">
        <v>0.92079999999999995</v>
      </c>
      <c r="J34" s="3">
        <v>22218</v>
      </c>
      <c r="K34" s="7">
        <v>49.648499999999999</v>
      </c>
      <c r="L34" s="5">
        <v>47</v>
      </c>
      <c r="M34" s="8"/>
      <c r="N34" s="5">
        <v>2375</v>
      </c>
      <c r="O34" s="9">
        <v>4.0399999999999998E-2</v>
      </c>
      <c r="P34" t="s">
        <v>540</v>
      </c>
      <c r="Q34">
        <v>20458.3344</v>
      </c>
      <c r="R34">
        <v>1</v>
      </c>
      <c r="S34" s="18" t="s">
        <v>618</v>
      </c>
    </row>
    <row r="35" spans="1:19">
      <c r="A35" t="s">
        <v>384</v>
      </c>
      <c r="B35" t="s">
        <v>385</v>
      </c>
      <c r="C35" s="4">
        <v>45905</v>
      </c>
      <c r="D35">
        <v>17</v>
      </c>
      <c r="E35" s="5">
        <v>9</v>
      </c>
      <c r="F35" s="6">
        <v>24</v>
      </c>
      <c r="G35" s="3">
        <v>538</v>
      </c>
      <c r="H35">
        <v>15</v>
      </c>
      <c r="I35" s="10">
        <v>0.89259999999999995</v>
      </c>
      <c r="J35" s="3">
        <v>17021</v>
      </c>
      <c r="K35" s="7">
        <v>36.571300000000001</v>
      </c>
      <c r="L35" s="5">
        <v>76</v>
      </c>
      <c r="M35" s="8">
        <v>0</v>
      </c>
      <c r="N35" s="5">
        <v>2609</v>
      </c>
      <c r="O35" s="9">
        <v>2.9499999999999998E-2</v>
      </c>
      <c r="P35" t="s">
        <v>538</v>
      </c>
      <c r="Q35">
        <v>15192.944600000001</v>
      </c>
      <c r="R35">
        <v>1</v>
      </c>
      <c r="S35" s="18" t="s">
        <v>619</v>
      </c>
    </row>
    <row r="36" spans="1:19">
      <c r="A36" t="s">
        <v>424</v>
      </c>
      <c r="B36" t="s">
        <v>425</v>
      </c>
      <c r="C36" s="4">
        <v>45906</v>
      </c>
      <c r="D36">
        <v>20</v>
      </c>
      <c r="E36" s="5">
        <v>5</v>
      </c>
      <c r="F36" s="6">
        <v>1</v>
      </c>
      <c r="G36" s="3">
        <v>443</v>
      </c>
      <c r="H36">
        <v>20</v>
      </c>
      <c r="I36" s="10">
        <v>1.0074000000000001</v>
      </c>
      <c r="J36" s="3">
        <v>30268</v>
      </c>
      <c r="K36" s="7">
        <v>92.9148</v>
      </c>
      <c r="L36" s="5">
        <v>46</v>
      </c>
      <c r="M36" s="8"/>
      <c r="N36" s="5">
        <v>2396</v>
      </c>
      <c r="O36" s="9">
        <v>3.8800000000000001E-2</v>
      </c>
      <c r="P36" t="s">
        <v>540</v>
      </c>
      <c r="Q36">
        <v>30491.983199999995</v>
      </c>
      <c r="R36">
        <v>1</v>
      </c>
      <c r="S36" s="18" t="s">
        <v>620</v>
      </c>
    </row>
    <row r="37" spans="1:19">
      <c r="A37" t="s">
        <v>430</v>
      </c>
      <c r="B37" t="s">
        <v>431</v>
      </c>
      <c r="C37" s="4">
        <v>45908</v>
      </c>
      <c r="D37">
        <v>14</v>
      </c>
      <c r="E37" s="5">
        <v>5</v>
      </c>
      <c r="F37" s="6">
        <v>5</v>
      </c>
      <c r="G37" s="3">
        <v>399</v>
      </c>
      <c r="H37">
        <v>15</v>
      </c>
      <c r="I37" s="10">
        <v>1.079</v>
      </c>
      <c r="J37" s="3">
        <v>22388</v>
      </c>
      <c r="K37" s="7">
        <v>47.862200000000001</v>
      </c>
      <c r="L37" s="5">
        <v>84</v>
      </c>
      <c r="M37" s="8"/>
      <c r="N37" s="5">
        <v>2542</v>
      </c>
      <c r="O37" s="9">
        <v>3.0700000000000002E-2</v>
      </c>
      <c r="P37" t="s">
        <v>540</v>
      </c>
      <c r="Q37">
        <v>24156.651999999998</v>
      </c>
      <c r="R37">
        <v>1</v>
      </c>
      <c r="S37" s="18" t="s">
        <v>621</v>
      </c>
    </row>
    <row r="38" spans="1:19">
      <c r="A38" t="s">
        <v>502</v>
      </c>
      <c r="B38" t="s">
        <v>503</v>
      </c>
      <c r="C38" s="4">
        <v>45909</v>
      </c>
      <c r="D38">
        <v>16</v>
      </c>
      <c r="E38" s="5">
        <v>1</v>
      </c>
      <c r="F38" s="6">
        <v>1</v>
      </c>
      <c r="G38" s="3">
        <v>86</v>
      </c>
      <c r="H38">
        <v>13</v>
      </c>
      <c r="I38" s="10">
        <v>0.85829999999999995</v>
      </c>
      <c r="J38" s="3">
        <v>3799</v>
      </c>
      <c r="K38" s="7">
        <v>6.0572999999999997</v>
      </c>
      <c r="L38" s="5">
        <v>3</v>
      </c>
      <c r="M38" s="8"/>
      <c r="N38" s="5">
        <v>2483</v>
      </c>
      <c r="O38" s="9">
        <v>2.2200000000000001E-2</v>
      </c>
      <c r="P38" t="s">
        <v>538</v>
      </c>
      <c r="Q38">
        <v>3260.6816999999996</v>
      </c>
      <c r="R38">
        <v>1</v>
      </c>
      <c r="S38" s="18" t="s">
        <v>623</v>
      </c>
    </row>
    <row r="39" spans="1:19">
      <c r="A39" t="s">
        <v>438</v>
      </c>
      <c r="B39" t="s">
        <v>439</v>
      </c>
      <c r="C39" s="4">
        <v>45910</v>
      </c>
      <c r="D39">
        <v>20</v>
      </c>
      <c r="E39" s="5">
        <v>5</v>
      </c>
      <c r="F39" s="6">
        <v>2</v>
      </c>
      <c r="G39" s="3">
        <v>444</v>
      </c>
      <c r="H39">
        <v>17</v>
      </c>
      <c r="I39" s="10">
        <v>0.89800000000000002</v>
      </c>
      <c r="J39" s="3">
        <v>30614</v>
      </c>
      <c r="K39" s="7">
        <v>81.922899999999998</v>
      </c>
      <c r="L39" s="5">
        <v>58</v>
      </c>
      <c r="M39" s="8"/>
      <c r="N39" s="5">
        <v>3059</v>
      </c>
      <c r="O39" s="9">
        <v>3.0700000000000002E-2</v>
      </c>
      <c r="P39" t="s">
        <v>540</v>
      </c>
      <c r="Q39">
        <v>27491.371999999999</v>
      </c>
      <c r="R39">
        <v>1</v>
      </c>
      <c r="S39" s="18" t="s">
        <v>625</v>
      </c>
    </row>
    <row r="40" spans="1:19">
      <c r="A40" t="s">
        <v>277</v>
      </c>
      <c r="B40" t="s">
        <v>278</v>
      </c>
      <c r="C40" s="4">
        <v>45911</v>
      </c>
      <c r="D40">
        <v>37</v>
      </c>
      <c r="E40" s="5">
        <v>29</v>
      </c>
      <c r="F40" s="6">
        <v>5</v>
      </c>
      <c r="G40" s="3">
        <v>953</v>
      </c>
      <c r="H40">
        <v>29</v>
      </c>
      <c r="I40" s="10">
        <v>0.79420000000000002</v>
      </c>
      <c r="J40" s="3">
        <v>28789</v>
      </c>
      <c r="K40" s="7">
        <v>134.9289</v>
      </c>
      <c r="L40" s="5">
        <v>54</v>
      </c>
      <c r="M40" s="8"/>
      <c r="N40" s="5">
        <v>3555</v>
      </c>
      <c r="O40" s="9">
        <v>2.7300000000000001E-2</v>
      </c>
      <c r="P40" t="s">
        <v>539</v>
      </c>
      <c r="Q40">
        <v>22864.2238</v>
      </c>
      <c r="R40">
        <v>1</v>
      </c>
      <c r="S40" s="18" t="s">
        <v>602</v>
      </c>
    </row>
    <row r="41" spans="1:19">
      <c r="A41" t="s">
        <v>454</v>
      </c>
      <c r="B41" t="s">
        <v>455</v>
      </c>
      <c r="C41" s="4">
        <v>45912</v>
      </c>
      <c r="D41">
        <v>37</v>
      </c>
      <c r="E41" s="5">
        <v>3</v>
      </c>
      <c r="F41" s="6">
        <v>2</v>
      </c>
      <c r="G41" s="3">
        <v>213</v>
      </c>
      <c r="H41">
        <v>21</v>
      </c>
      <c r="I41" s="10">
        <v>0.58789999999999998</v>
      </c>
      <c r="J41" s="3">
        <v>5115</v>
      </c>
      <c r="K41" s="7">
        <v>13.801600000000001</v>
      </c>
      <c r="L41" s="5">
        <v>4</v>
      </c>
      <c r="M41" s="8"/>
      <c r="N41" s="5">
        <v>2993</v>
      </c>
      <c r="O41" s="9">
        <v>2.8400000000000002E-2</v>
      </c>
      <c r="P41" t="s">
        <v>539</v>
      </c>
      <c r="Q41">
        <v>3007.1084999999998</v>
      </c>
      <c r="R41">
        <v>1</v>
      </c>
      <c r="S41" s="18" t="s">
        <v>628</v>
      </c>
    </row>
    <row r="42" spans="1:19">
      <c r="A42" t="s">
        <v>500</v>
      </c>
      <c r="B42" t="s">
        <v>501</v>
      </c>
      <c r="C42" s="4">
        <v>45913</v>
      </c>
      <c r="D42">
        <v>51</v>
      </c>
      <c r="E42" s="5">
        <v>1</v>
      </c>
      <c r="F42" s="6">
        <v>1</v>
      </c>
      <c r="G42" s="3">
        <v>41</v>
      </c>
      <c r="H42">
        <v>32</v>
      </c>
      <c r="I42" s="10">
        <v>0.64190000000000003</v>
      </c>
      <c r="J42" s="3">
        <v>1913</v>
      </c>
      <c r="K42" s="7">
        <v>9.3345000000000002</v>
      </c>
      <c r="L42" s="5">
        <v>3</v>
      </c>
      <c r="M42" s="8"/>
      <c r="N42" s="5">
        <v>2672</v>
      </c>
      <c r="O42" s="9">
        <v>3.5900000000000001E-2</v>
      </c>
      <c r="P42" t="s">
        <v>539</v>
      </c>
      <c r="Q42">
        <v>1227.9547</v>
      </c>
      <c r="R42">
        <v>1</v>
      </c>
      <c r="S42" s="18" t="s">
        <v>629</v>
      </c>
    </row>
    <row r="43" spans="1:19">
      <c r="A43" t="s">
        <v>390</v>
      </c>
      <c r="B43" t="s">
        <v>391</v>
      </c>
      <c r="C43" s="4">
        <v>45914</v>
      </c>
      <c r="D43">
        <v>29</v>
      </c>
      <c r="E43" s="5">
        <v>8</v>
      </c>
      <c r="F43" s="6">
        <v>6</v>
      </c>
      <c r="G43" s="3">
        <v>237</v>
      </c>
      <c r="H43">
        <v>22</v>
      </c>
      <c r="I43" s="10">
        <v>0.78400000000000003</v>
      </c>
      <c r="J43" s="3">
        <v>10790</v>
      </c>
      <c r="K43" s="7">
        <v>32.324399999999997</v>
      </c>
      <c r="L43" s="5">
        <v>23</v>
      </c>
      <c r="M43" s="8"/>
      <c r="N43" s="5">
        <v>3355</v>
      </c>
      <c r="O43" s="9">
        <v>3.73E-2</v>
      </c>
      <c r="P43" t="s">
        <v>538</v>
      </c>
      <c r="Q43">
        <v>8459.36</v>
      </c>
      <c r="R43">
        <v>1</v>
      </c>
      <c r="S43" s="18" t="s">
        <v>631</v>
      </c>
    </row>
    <row r="44" spans="1:19">
      <c r="A44" t="s">
        <v>388</v>
      </c>
      <c r="B44" t="s">
        <v>389</v>
      </c>
      <c r="C44" s="4">
        <v>45915</v>
      </c>
      <c r="D44">
        <v>25</v>
      </c>
      <c r="E44" s="5">
        <v>8</v>
      </c>
      <c r="F44" s="6">
        <v>6</v>
      </c>
      <c r="G44" s="3">
        <v>408</v>
      </c>
      <c r="H44">
        <v>25</v>
      </c>
      <c r="I44" s="10">
        <v>1.0037</v>
      </c>
      <c r="J44" s="3">
        <v>32976</v>
      </c>
      <c r="K44" s="7">
        <v>117.1798</v>
      </c>
      <c r="L44" s="5">
        <v>41</v>
      </c>
      <c r="M44" s="8"/>
      <c r="N44" s="5">
        <v>4168</v>
      </c>
      <c r="O44" s="9">
        <v>5.04E-2</v>
      </c>
      <c r="P44" t="s">
        <v>540</v>
      </c>
      <c r="Q44">
        <v>33098.011200000001</v>
      </c>
      <c r="R44">
        <v>1</v>
      </c>
      <c r="S44" s="18" t="s">
        <v>633</v>
      </c>
    </row>
    <row r="45" spans="1:19">
      <c r="A45" t="s">
        <v>307</v>
      </c>
      <c r="B45" t="s">
        <v>308</v>
      </c>
      <c r="C45" s="4">
        <v>45916</v>
      </c>
      <c r="D45">
        <v>46</v>
      </c>
      <c r="E45" s="5">
        <v>21</v>
      </c>
      <c r="F45" s="6">
        <v>5</v>
      </c>
      <c r="G45" s="3">
        <v>814</v>
      </c>
      <c r="H45">
        <v>29</v>
      </c>
      <c r="I45" s="10">
        <v>0.63770000000000004</v>
      </c>
      <c r="J45" s="3">
        <v>23961</v>
      </c>
      <c r="K45" s="7">
        <v>124.31359999999999</v>
      </c>
      <c r="L45" s="5">
        <v>106</v>
      </c>
      <c r="M45" s="8"/>
      <c r="N45" s="5">
        <v>3683</v>
      </c>
      <c r="O45" s="9">
        <v>4.9399999999999999E-2</v>
      </c>
      <c r="P45" t="s">
        <v>539</v>
      </c>
      <c r="Q45">
        <v>15279.929700000001</v>
      </c>
      <c r="R45">
        <v>1</v>
      </c>
      <c r="S45" s="18" t="s">
        <v>626</v>
      </c>
    </row>
    <row r="46" spans="1:19">
      <c r="A46" t="s">
        <v>440</v>
      </c>
      <c r="B46" t="s">
        <v>441</v>
      </c>
      <c r="C46" s="4">
        <v>45917</v>
      </c>
      <c r="D46">
        <v>29</v>
      </c>
      <c r="E46" s="5">
        <v>5</v>
      </c>
      <c r="F46" s="6">
        <v>2</v>
      </c>
      <c r="G46" s="3">
        <v>95</v>
      </c>
      <c r="H46">
        <v>20</v>
      </c>
      <c r="I46" s="10">
        <v>0.69189999999999996</v>
      </c>
      <c r="J46" s="3">
        <v>5876</v>
      </c>
      <c r="K46" s="7">
        <v>14.3218</v>
      </c>
      <c r="L46" s="5">
        <v>7</v>
      </c>
      <c r="M46" s="8"/>
      <c r="N46" s="5">
        <v>2370</v>
      </c>
      <c r="O46" s="9">
        <v>5.91E-2</v>
      </c>
      <c r="P46" t="s">
        <v>539</v>
      </c>
      <c r="Q46">
        <v>4065.6043999999997</v>
      </c>
      <c r="R46">
        <v>1</v>
      </c>
      <c r="S46" s="18" t="s">
        <v>635</v>
      </c>
    </row>
    <row r="47" spans="1:19">
      <c r="A47" t="s">
        <v>265</v>
      </c>
      <c r="B47" t="s">
        <v>266</v>
      </c>
      <c r="C47" s="4">
        <v>45918</v>
      </c>
      <c r="D47">
        <v>24</v>
      </c>
      <c r="E47" s="5">
        <v>43</v>
      </c>
      <c r="F47" s="6">
        <v>17</v>
      </c>
      <c r="G47" s="3">
        <v>1563</v>
      </c>
      <c r="H47">
        <v>23</v>
      </c>
      <c r="I47" s="10">
        <v>0.97740000000000005</v>
      </c>
      <c r="J47" s="3">
        <v>103049</v>
      </c>
      <c r="K47" s="7">
        <v>353.8544</v>
      </c>
      <c r="L47" s="5">
        <v>274</v>
      </c>
      <c r="M47" s="8"/>
      <c r="N47" s="5">
        <v>4869</v>
      </c>
      <c r="O47" s="9">
        <v>5.11E-2</v>
      </c>
      <c r="P47" t="s">
        <v>540</v>
      </c>
      <c r="Q47">
        <v>100720.09259999999</v>
      </c>
      <c r="R47">
        <v>1</v>
      </c>
      <c r="S47" s="18" t="s">
        <v>593</v>
      </c>
    </row>
    <row r="48" spans="1:19">
      <c r="A48" t="s">
        <v>349</v>
      </c>
      <c r="B48" t="s">
        <v>350</v>
      </c>
      <c r="C48" s="4">
        <v>45919</v>
      </c>
      <c r="D48">
        <v>21</v>
      </c>
      <c r="E48" s="5">
        <v>13</v>
      </c>
      <c r="F48" s="6">
        <v>2</v>
      </c>
      <c r="G48" s="3">
        <v>263</v>
      </c>
      <c r="H48">
        <v>20</v>
      </c>
      <c r="I48" s="10">
        <v>0.98429999999999995</v>
      </c>
      <c r="J48" s="3">
        <v>19149</v>
      </c>
      <c r="K48" s="7">
        <v>49.484499999999997</v>
      </c>
      <c r="L48" s="5">
        <v>24</v>
      </c>
      <c r="M48" s="8"/>
      <c r="N48" s="5">
        <v>2680</v>
      </c>
      <c r="O48" s="9">
        <v>4.2900000000000001E-2</v>
      </c>
      <c r="P48" t="s">
        <v>540</v>
      </c>
      <c r="Q48">
        <v>18848.360700000001</v>
      </c>
      <c r="R48">
        <v>1</v>
      </c>
      <c r="S48" s="18" t="s">
        <v>638</v>
      </c>
    </row>
    <row r="49" spans="1:19">
      <c r="A49" t="s">
        <v>361</v>
      </c>
      <c r="B49" t="s">
        <v>362</v>
      </c>
      <c r="C49" s="4">
        <v>45920</v>
      </c>
      <c r="D49">
        <v>33</v>
      </c>
      <c r="E49" s="5">
        <v>11</v>
      </c>
      <c r="F49" s="6">
        <v>3</v>
      </c>
      <c r="G49" s="3">
        <v>351</v>
      </c>
      <c r="H49">
        <v>26</v>
      </c>
      <c r="I49" s="10">
        <v>0.79249999999999998</v>
      </c>
      <c r="J49" s="3">
        <v>24822</v>
      </c>
      <c r="K49" s="7">
        <v>89.173400000000001</v>
      </c>
      <c r="L49" s="5">
        <v>16</v>
      </c>
      <c r="M49" s="8"/>
      <c r="N49" s="5">
        <v>2970</v>
      </c>
      <c r="O49" s="9">
        <v>0.03</v>
      </c>
      <c r="P49" t="s">
        <v>539</v>
      </c>
      <c r="Q49">
        <v>19671.435000000001</v>
      </c>
      <c r="R49">
        <v>1</v>
      </c>
      <c r="S49" s="18" t="s">
        <v>640</v>
      </c>
    </row>
    <row r="50" spans="1:19">
      <c r="A50" t="s">
        <v>365</v>
      </c>
      <c r="B50" t="s">
        <v>366</v>
      </c>
      <c r="C50" s="4">
        <v>45921</v>
      </c>
      <c r="D50">
        <v>32</v>
      </c>
      <c r="E50" s="5">
        <v>10</v>
      </c>
      <c r="F50" s="6">
        <v>1</v>
      </c>
      <c r="G50" s="3">
        <v>723</v>
      </c>
      <c r="H50">
        <v>26</v>
      </c>
      <c r="I50" s="10">
        <v>0.83779999999999999</v>
      </c>
      <c r="J50" s="3">
        <v>32920</v>
      </c>
      <c r="K50" s="7">
        <v>130.04929999999999</v>
      </c>
      <c r="L50" s="5">
        <v>25</v>
      </c>
      <c r="M50" s="8"/>
      <c r="N50" s="5">
        <v>2824</v>
      </c>
      <c r="O50" s="9">
        <v>2.3699999999999999E-2</v>
      </c>
      <c r="P50" t="s">
        <v>539</v>
      </c>
      <c r="Q50">
        <v>27580.376</v>
      </c>
      <c r="R50">
        <v>1</v>
      </c>
      <c r="S50" s="18" t="s">
        <v>641</v>
      </c>
    </row>
    <row r="51" spans="1:19">
      <c r="A51" t="s">
        <v>281</v>
      </c>
      <c r="B51" t="s">
        <v>282</v>
      </c>
      <c r="C51" s="4">
        <v>45922</v>
      </c>
      <c r="D51">
        <v>19</v>
      </c>
      <c r="E51" s="5">
        <v>28</v>
      </c>
      <c r="F51" s="6">
        <v>5</v>
      </c>
      <c r="G51" s="3">
        <v>761</v>
      </c>
      <c r="H51">
        <v>20</v>
      </c>
      <c r="I51" s="10">
        <v>1.0965</v>
      </c>
      <c r="J51" s="3">
        <v>35916</v>
      </c>
      <c r="K51" s="7">
        <v>96.566000000000003</v>
      </c>
      <c r="L51" s="5">
        <v>55</v>
      </c>
      <c r="M51" s="8"/>
      <c r="N51" s="5">
        <v>3999</v>
      </c>
      <c r="O51" s="9">
        <v>4.5999999999999999E-2</v>
      </c>
      <c r="P51" t="s">
        <v>540</v>
      </c>
      <c r="Q51">
        <v>39381.894</v>
      </c>
      <c r="R51">
        <v>1</v>
      </c>
      <c r="S51" s="18" t="s">
        <v>605</v>
      </c>
    </row>
    <row r="52" spans="1:19">
      <c r="A52" t="s">
        <v>339</v>
      </c>
      <c r="B52" t="s">
        <v>340</v>
      </c>
      <c r="C52" s="4">
        <v>45923</v>
      </c>
      <c r="D52">
        <v>19</v>
      </c>
      <c r="E52" s="5">
        <v>14</v>
      </c>
      <c r="F52" s="6">
        <v>2</v>
      </c>
      <c r="G52" s="3">
        <v>1010</v>
      </c>
      <c r="H52">
        <v>19</v>
      </c>
      <c r="I52" s="10">
        <v>1.0122</v>
      </c>
      <c r="J52" s="3">
        <v>34257</v>
      </c>
      <c r="K52" s="7">
        <v>95.465000000000003</v>
      </c>
      <c r="L52" s="5">
        <v>158</v>
      </c>
      <c r="M52" s="8"/>
      <c r="N52" s="5">
        <v>3451</v>
      </c>
      <c r="O52" s="9">
        <v>3.39E-2</v>
      </c>
      <c r="P52" t="s">
        <v>540</v>
      </c>
      <c r="Q52">
        <v>34674.935400000002</v>
      </c>
      <c r="R52">
        <v>1</v>
      </c>
      <c r="S52" s="18" t="s">
        <v>644</v>
      </c>
    </row>
    <row r="53" spans="1:19">
      <c r="A53" t="s">
        <v>351</v>
      </c>
      <c r="B53" t="s">
        <v>352</v>
      </c>
      <c r="C53" s="4">
        <v>45924</v>
      </c>
      <c r="D53">
        <v>18</v>
      </c>
      <c r="E53" s="5">
        <v>12</v>
      </c>
      <c r="F53" s="6">
        <v>1</v>
      </c>
      <c r="G53" s="3">
        <v>409</v>
      </c>
      <c r="H53">
        <v>16</v>
      </c>
      <c r="I53" s="10">
        <v>0.91349999999999998</v>
      </c>
      <c r="J53" s="3">
        <v>21342</v>
      </c>
      <c r="K53" s="7">
        <v>55.583799999999997</v>
      </c>
      <c r="L53" s="5">
        <v>28</v>
      </c>
      <c r="M53" s="8"/>
      <c r="N53" s="5">
        <v>2500</v>
      </c>
      <c r="O53" s="9">
        <v>1.7600000000000001E-2</v>
      </c>
      <c r="P53" t="s">
        <v>540</v>
      </c>
      <c r="Q53">
        <v>19495.917000000001</v>
      </c>
      <c r="R53">
        <v>1</v>
      </c>
      <c r="S53" s="18" t="s">
        <v>646</v>
      </c>
    </row>
    <row r="54" spans="1:19">
      <c r="A54" t="s">
        <v>414</v>
      </c>
      <c r="B54" t="s">
        <v>415</v>
      </c>
      <c r="C54" s="4">
        <v>45925</v>
      </c>
      <c r="D54">
        <v>19</v>
      </c>
      <c r="E54" s="5">
        <v>6</v>
      </c>
      <c r="F54" s="6">
        <v>3</v>
      </c>
      <c r="G54" s="3">
        <v>896</v>
      </c>
      <c r="H54">
        <v>19</v>
      </c>
      <c r="I54" s="10">
        <v>1.0361</v>
      </c>
      <c r="J54" s="3">
        <v>32129</v>
      </c>
      <c r="K54" s="7">
        <v>91.470500000000001</v>
      </c>
      <c r="L54" s="5">
        <v>135</v>
      </c>
      <c r="M54" s="8"/>
      <c r="N54" s="5">
        <v>3467</v>
      </c>
      <c r="O54" s="9">
        <v>2.5700000000000001E-2</v>
      </c>
      <c r="P54" t="s">
        <v>540</v>
      </c>
      <c r="Q54">
        <v>33288.856899999999</v>
      </c>
      <c r="R54">
        <v>1</v>
      </c>
      <c r="S54" s="18" t="s">
        <v>648</v>
      </c>
    </row>
    <row r="55" spans="1:19">
      <c r="A55" t="s">
        <v>257</v>
      </c>
      <c r="B55" t="s">
        <v>258</v>
      </c>
      <c r="C55" s="4">
        <v>45926</v>
      </c>
      <c r="D55">
        <v>38</v>
      </c>
      <c r="E55" s="5">
        <v>75</v>
      </c>
      <c r="F55" s="6">
        <v>15</v>
      </c>
      <c r="G55" s="3">
        <v>1177</v>
      </c>
      <c r="H55">
        <v>22</v>
      </c>
      <c r="I55" s="10">
        <v>0.59489999999999998</v>
      </c>
      <c r="J55" s="3">
        <v>18693</v>
      </c>
      <c r="K55" s="7">
        <v>62.2012</v>
      </c>
      <c r="L55" s="5">
        <v>112</v>
      </c>
      <c r="M55" s="8"/>
      <c r="N55" s="5">
        <v>8026</v>
      </c>
      <c r="O55" s="9">
        <v>2.8000000000000001E-2</v>
      </c>
      <c r="P55" t="s">
        <v>538</v>
      </c>
      <c r="Q55">
        <v>11120.465699999999</v>
      </c>
      <c r="R55">
        <v>1</v>
      </c>
      <c r="S55" s="18" t="s">
        <v>586</v>
      </c>
    </row>
    <row r="56" spans="1:19">
      <c r="A56" t="s">
        <v>309</v>
      </c>
      <c r="B56" t="s">
        <v>310</v>
      </c>
      <c r="C56" s="4">
        <v>45927</v>
      </c>
      <c r="D56">
        <v>28</v>
      </c>
      <c r="E56" s="5">
        <v>20</v>
      </c>
      <c r="F56" s="6">
        <v>3</v>
      </c>
      <c r="G56" s="3">
        <v>666</v>
      </c>
      <c r="H56">
        <v>23</v>
      </c>
      <c r="I56" s="10">
        <v>0.8427</v>
      </c>
      <c r="J56" s="3">
        <v>30383</v>
      </c>
      <c r="K56" s="7">
        <v>110.9376</v>
      </c>
      <c r="L56" s="5">
        <v>58</v>
      </c>
      <c r="M56" s="8"/>
      <c r="N56" s="5">
        <v>4809</v>
      </c>
      <c r="O56" s="9">
        <v>3.5799999999999998E-2</v>
      </c>
      <c r="P56" t="s">
        <v>540</v>
      </c>
      <c r="Q56">
        <v>25603.754100000002</v>
      </c>
      <c r="R56">
        <v>1</v>
      </c>
      <c r="S56" s="18" t="s">
        <v>627</v>
      </c>
    </row>
    <row r="57" spans="1:19">
      <c r="A57" t="s">
        <v>456</v>
      </c>
      <c r="B57" t="s">
        <v>457</v>
      </c>
      <c r="C57" s="4">
        <v>45930</v>
      </c>
      <c r="D57">
        <v>16</v>
      </c>
      <c r="E57" s="5">
        <v>3</v>
      </c>
      <c r="F57" s="6">
        <v>1</v>
      </c>
      <c r="G57" s="3">
        <v>345</v>
      </c>
      <c r="H57">
        <v>16</v>
      </c>
      <c r="I57" s="10">
        <v>1.0168999999999999</v>
      </c>
      <c r="J57" s="3">
        <v>20410</v>
      </c>
      <c r="K57" s="7">
        <v>49.241700000000002</v>
      </c>
      <c r="L57" s="5">
        <v>35</v>
      </c>
      <c r="M57" s="8">
        <v>0</v>
      </c>
      <c r="N57" s="5">
        <v>3125</v>
      </c>
      <c r="O57" s="9">
        <v>3.2300000000000002E-2</v>
      </c>
      <c r="P57" t="s">
        <v>541</v>
      </c>
      <c r="Q57">
        <v>20754.928999999996</v>
      </c>
      <c r="R57">
        <v>1</v>
      </c>
      <c r="S57" s="18" t="s">
        <v>650</v>
      </c>
    </row>
    <row r="58" spans="1:19">
      <c r="A58" t="s">
        <v>396</v>
      </c>
      <c r="B58" t="s">
        <v>397</v>
      </c>
      <c r="C58" s="4">
        <v>45931</v>
      </c>
      <c r="D58">
        <v>18</v>
      </c>
      <c r="E58" s="5">
        <v>7</v>
      </c>
      <c r="F58" s="6">
        <v>6</v>
      </c>
      <c r="G58" s="3">
        <v>380</v>
      </c>
      <c r="H58">
        <v>23</v>
      </c>
      <c r="I58" s="10">
        <v>1.3170999999999999</v>
      </c>
      <c r="J58" s="3">
        <v>40068</v>
      </c>
      <c r="K58" s="7">
        <v>109.1782</v>
      </c>
      <c r="L58" s="5">
        <v>39</v>
      </c>
      <c r="M58" s="8"/>
      <c r="N58" s="5">
        <v>3426</v>
      </c>
      <c r="O58" s="9">
        <v>6.5699999999999995E-2</v>
      </c>
      <c r="P58" t="s">
        <v>540</v>
      </c>
      <c r="Q58">
        <v>52773.562800000007</v>
      </c>
      <c r="R58">
        <v>1</v>
      </c>
      <c r="S58" s="18" t="s">
        <v>652</v>
      </c>
    </row>
    <row r="59" spans="1:19">
      <c r="A59" t="s">
        <v>355</v>
      </c>
      <c r="B59" t="s">
        <v>356</v>
      </c>
      <c r="C59" s="4">
        <v>45932</v>
      </c>
      <c r="D59">
        <v>19</v>
      </c>
      <c r="E59" s="5">
        <v>12</v>
      </c>
      <c r="F59" s="6">
        <v>2</v>
      </c>
      <c r="G59" s="3">
        <v>248</v>
      </c>
      <c r="H59">
        <v>19</v>
      </c>
      <c r="I59" s="10">
        <v>1.0304</v>
      </c>
      <c r="J59" s="3">
        <v>13828</v>
      </c>
      <c r="K59" s="7">
        <v>32.484200000000001</v>
      </c>
      <c r="L59" s="5">
        <v>23</v>
      </c>
      <c r="M59" s="8"/>
      <c r="N59" s="5">
        <v>2270</v>
      </c>
      <c r="O59" s="9">
        <v>4.1000000000000002E-2</v>
      </c>
      <c r="P59" t="s">
        <v>540</v>
      </c>
      <c r="Q59">
        <v>14248.3712</v>
      </c>
      <c r="R59">
        <v>1</v>
      </c>
      <c r="S59" s="18" t="s">
        <v>654</v>
      </c>
    </row>
    <row r="60" spans="1:19">
      <c r="A60" t="s">
        <v>245</v>
      </c>
      <c r="B60" t="s">
        <v>246</v>
      </c>
      <c r="C60" s="4">
        <v>45934</v>
      </c>
      <c r="D60">
        <v>18</v>
      </c>
      <c r="E60" s="5">
        <v>131</v>
      </c>
      <c r="F60" s="6">
        <v>46</v>
      </c>
      <c r="G60" s="3">
        <v>9869</v>
      </c>
      <c r="H60">
        <v>17</v>
      </c>
      <c r="I60" s="10">
        <v>0.99919999999999998</v>
      </c>
      <c r="J60" s="3">
        <v>1180464</v>
      </c>
      <c r="K60" s="7">
        <v>3123.7289999999998</v>
      </c>
      <c r="L60" s="5">
        <v>562</v>
      </c>
      <c r="M60" s="8">
        <v>0.05</v>
      </c>
      <c r="N60" s="5">
        <v>241376</v>
      </c>
      <c r="O60" s="9">
        <v>7.85E-2</v>
      </c>
      <c r="P60" t="s">
        <v>541</v>
      </c>
      <c r="Q60">
        <v>1179519.6288000001</v>
      </c>
      <c r="R60">
        <v>1</v>
      </c>
      <c r="S60" s="18" t="s">
        <v>574</v>
      </c>
    </row>
    <row r="61" spans="1:19">
      <c r="A61" t="s">
        <v>436</v>
      </c>
      <c r="B61" t="s">
        <v>437</v>
      </c>
      <c r="C61" s="4">
        <v>45935</v>
      </c>
      <c r="D61">
        <v>19</v>
      </c>
      <c r="E61" s="5">
        <v>5</v>
      </c>
      <c r="F61" s="6">
        <v>4</v>
      </c>
      <c r="G61" s="3">
        <v>426</v>
      </c>
      <c r="H61">
        <v>19</v>
      </c>
      <c r="I61" s="10">
        <v>1.0185999999999999</v>
      </c>
      <c r="J61" s="3">
        <v>42227</v>
      </c>
      <c r="K61" s="7">
        <v>116.87520000000001</v>
      </c>
      <c r="L61" s="5">
        <v>27</v>
      </c>
      <c r="M61" s="8"/>
      <c r="N61" s="5">
        <v>2018</v>
      </c>
      <c r="O61" s="9">
        <v>4.0599999999999997E-2</v>
      </c>
      <c r="P61" t="s">
        <v>541</v>
      </c>
      <c r="Q61">
        <v>43012.422200000001</v>
      </c>
      <c r="R61">
        <v>1</v>
      </c>
      <c r="S61" s="18" t="s">
        <v>656</v>
      </c>
    </row>
    <row r="62" spans="1:19">
      <c r="A62" t="s">
        <v>363</v>
      </c>
      <c r="B62" t="s">
        <v>364</v>
      </c>
      <c r="C62" s="4">
        <v>45936</v>
      </c>
      <c r="D62">
        <v>20</v>
      </c>
      <c r="E62" s="5">
        <v>10</v>
      </c>
      <c r="F62" s="6">
        <v>0</v>
      </c>
      <c r="G62" s="3">
        <v>871</v>
      </c>
      <c r="H62">
        <v>19</v>
      </c>
      <c r="I62" s="10">
        <v>0.96340000000000003</v>
      </c>
      <c r="J62" s="3">
        <v>68179</v>
      </c>
      <c r="K62" s="7">
        <v>192.56450000000001</v>
      </c>
      <c r="L62" s="5">
        <v>41</v>
      </c>
      <c r="M62" s="8"/>
      <c r="N62" s="5">
        <v>5029</v>
      </c>
      <c r="O62" s="9">
        <v>5.1499999999999997E-2</v>
      </c>
      <c r="P62" t="s">
        <v>541</v>
      </c>
      <c r="Q62">
        <v>65683.6486</v>
      </c>
      <c r="R62">
        <v>1</v>
      </c>
      <c r="S62" s="18" t="s">
        <v>657</v>
      </c>
    </row>
    <row r="63" spans="1:19">
      <c r="A63" t="s">
        <v>273</v>
      </c>
      <c r="B63" t="s">
        <v>274</v>
      </c>
      <c r="C63" s="4">
        <v>45938</v>
      </c>
      <c r="D63">
        <v>19</v>
      </c>
      <c r="E63" s="5">
        <v>33</v>
      </c>
      <c r="F63" s="6">
        <v>19</v>
      </c>
      <c r="G63" s="3">
        <v>1961</v>
      </c>
      <c r="H63">
        <v>17</v>
      </c>
      <c r="I63" s="10">
        <v>0.93720000000000003</v>
      </c>
      <c r="J63" s="3">
        <v>160614</v>
      </c>
      <c r="K63" s="7">
        <v>440.41559999999998</v>
      </c>
      <c r="L63" s="5">
        <v>95</v>
      </c>
      <c r="M63" s="8">
        <v>4.0000000000000001E-3</v>
      </c>
      <c r="N63" s="5">
        <v>65185</v>
      </c>
      <c r="O63" s="9">
        <v>8.2100000000000006E-2</v>
      </c>
      <c r="P63" t="s">
        <v>541</v>
      </c>
      <c r="Q63">
        <v>150527.44080000001</v>
      </c>
      <c r="R63">
        <v>1</v>
      </c>
      <c r="S63" s="18" t="s">
        <v>599</v>
      </c>
    </row>
    <row r="64" spans="1:19">
      <c r="A64" t="s">
        <v>261</v>
      </c>
      <c r="B64" t="s">
        <v>262</v>
      </c>
      <c r="C64" s="4">
        <v>45939</v>
      </c>
      <c r="D64">
        <v>26</v>
      </c>
      <c r="E64" s="5">
        <v>50</v>
      </c>
      <c r="F64" s="6">
        <v>17</v>
      </c>
      <c r="G64" s="3">
        <v>10580</v>
      </c>
      <c r="H64">
        <v>20</v>
      </c>
      <c r="I64" s="10">
        <v>0.77200000000000002</v>
      </c>
      <c r="J64" s="3">
        <v>1220890</v>
      </c>
      <c r="K64" s="7">
        <v>4073.3757999999998</v>
      </c>
      <c r="L64" s="5">
        <v>390</v>
      </c>
      <c r="M64" s="8">
        <v>1E-3</v>
      </c>
      <c r="N64" s="5">
        <v>13685</v>
      </c>
      <c r="O64" s="9">
        <v>5.6300000000000003E-2</v>
      </c>
      <c r="P64" t="s">
        <v>541</v>
      </c>
      <c r="Q64">
        <v>942527.08000000007</v>
      </c>
      <c r="R64">
        <v>1</v>
      </c>
      <c r="S64" s="18" t="s">
        <v>590</v>
      </c>
    </row>
    <row r="65" spans="1:19">
      <c r="A65" t="s">
        <v>285</v>
      </c>
      <c r="B65" t="s">
        <v>286</v>
      </c>
      <c r="C65" s="4">
        <v>45940</v>
      </c>
      <c r="D65">
        <v>18</v>
      </c>
      <c r="E65" s="5">
        <v>27</v>
      </c>
      <c r="F65" s="6">
        <v>3</v>
      </c>
      <c r="G65" s="3">
        <v>1250</v>
      </c>
      <c r="H65">
        <v>17</v>
      </c>
      <c r="I65" s="10">
        <v>0.97430000000000005</v>
      </c>
      <c r="J65" s="3">
        <v>119492</v>
      </c>
      <c r="K65" s="7">
        <v>300.19009999999997</v>
      </c>
      <c r="L65" s="5">
        <v>99</v>
      </c>
      <c r="M65" s="8"/>
      <c r="N65" s="5">
        <v>4438</v>
      </c>
      <c r="O65" s="9">
        <v>2.0299999999999999E-2</v>
      </c>
      <c r="P65" t="s">
        <v>541</v>
      </c>
      <c r="Q65">
        <v>116421.05560000001</v>
      </c>
      <c r="R65">
        <v>1</v>
      </c>
      <c r="S65" s="18" t="s">
        <v>608</v>
      </c>
    </row>
    <row r="66" spans="1:19">
      <c r="A66" t="s">
        <v>482</v>
      </c>
      <c r="B66" t="s">
        <v>483</v>
      </c>
      <c r="C66" s="4">
        <v>45941</v>
      </c>
      <c r="D66">
        <v>18</v>
      </c>
      <c r="E66" s="5">
        <v>2</v>
      </c>
      <c r="F66" s="6">
        <v>1</v>
      </c>
      <c r="G66" s="3">
        <v>527</v>
      </c>
      <c r="H66">
        <v>20</v>
      </c>
      <c r="I66" s="10">
        <v>1.1604000000000001</v>
      </c>
      <c r="J66" s="3">
        <v>50611</v>
      </c>
      <c r="K66" s="7">
        <v>139.33189999999999</v>
      </c>
      <c r="L66" s="5">
        <v>30</v>
      </c>
      <c r="M66" s="8">
        <v>0</v>
      </c>
      <c r="N66" s="5">
        <v>3352</v>
      </c>
      <c r="O66" s="9">
        <v>2.98E-2</v>
      </c>
      <c r="P66" t="s">
        <v>541</v>
      </c>
      <c r="Q66">
        <v>58729.004400000005</v>
      </c>
      <c r="R66">
        <v>1</v>
      </c>
      <c r="S66" s="18" t="s">
        <v>660</v>
      </c>
    </row>
    <row r="67" spans="1:19">
      <c r="A67" t="s">
        <v>375</v>
      </c>
      <c r="B67" t="s">
        <v>376</v>
      </c>
      <c r="C67" s="4">
        <v>45942</v>
      </c>
      <c r="D67">
        <v>15</v>
      </c>
      <c r="E67" s="5">
        <v>9</v>
      </c>
      <c r="F67" s="6">
        <v>3</v>
      </c>
      <c r="G67" s="3">
        <v>465</v>
      </c>
      <c r="H67">
        <v>16</v>
      </c>
      <c r="I67" s="10">
        <v>1.0726</v>
      </c>
      <c r="J67" s="3">
        <v>39663</v>
      </c>
      <c r="K67" s="7">
        <v>91.400300000000001</v>
      </c>
      <c r="L67" s="5">
        <v>31</v>
      </c>
      <c r="M67" s="8">
        <v>1E-3</v>
      </c>
      <c r="N67" s="5">
        <v>13448</v>
      </c>
      <c r="O67" s="9">
        <v>6.6400000000000001E-2</v>
      </c>
      <c r="P67" t="s">
        <v>541</v>
      </c>
      <c r="Q67">
        <v>42542.533799999997</v>
      </c>
      <c r="R67">
        <v>1</v>
      </c>
      <c r="S67" s="18" t="s">
        <v>661</v>
      </c>
    </row>
    <row r="68" spans="1:19">
      <c r="A68" t="s">
        <v>442</v>
      </c>
      <c r="B68" t="s">
        <v>443</v>
      </c>
      <c r="C68" s="4">
        <v>45943</v>
      </c>
      <c r="D68">
        <v>20</v>
      </c>
      <c r="E68" s="5">
        <v>5</v>
      </c>
      <c r="F68" s="6">
        <v>1</v>
      </c>
      <c r="G68" s="3">
        <v>266</v>
      </c>
      <c r="H68">
        <v>18</v>
      </c>
      <c r="I68" s="10">
        <v>0.90410000000000001</v>
      </c>
      <c r="J68" s="3">
        <v>19693</v>
      </c>
      <c r="K68" s="7">
        <v>52.194899999999997</v>
      </c>
      <c r="L68" s="5">
        <v>15</v>
      </c>
      <c r="M68" s="8"/>
      <c r="N68" s="5">
        <v>2331</v>
      </c>
      <c r="O68" s="9">
        <v>1.84E-2</v>
      </c>
      <c r="P68" t="s">
        <v>541</v>
      </c>
      <c r="Q68">
        <v>17804.441299999999</v>
      </c>
      <c r="R68">
        <v>1</v>
      </c>
      <c r="S68" s="18" t="s">
        <v>662</v>
      </c>
    </row>
    <row r="69" spans="1:19">
      <c r="A69" t="s">
        <v>534</v>
      </c>
      <c r="B69" t="s">
        <v>535</v>
      </c>
      <c r="C69" s="4">
        <v>45952</v>
      </c>
      <c r="D69">
        <v>43</v>
      </c>
      <c r="E69" s="5">
        <v>0</v>
      </c>
      <c r="F69" s="6">
        <v>0</v>
      </c>
      <c r="G69" s="3">
        <v>54</v>
      </c>
      <c r="H69">
        <v>14</v>
      </c>
      <c r="I69" s="10">
        <v>0.34689999999999999</v>
      </c>
      <c r="J69" s="3">
        <v>2457</v>
      </c>
      <c r="K69" s="7">
        <v>6.1914999999999996</v>
      </c>
      <c r="L69" s="5">
        <v>5</v>
      </c>
      <c r="M69" s="8"/>
      <c r="N69" s="5">
        <v>2246</v>
      </c>
      <c r="O69" s="9">
        <v>2.0500000000000001E-2</v>
      </c>
      <c r="P69" t="s">
        <v>539</v>
      </c>
      <c r="Q69">
        <v>852.33330000000001</v>
      </c>
      <c r="R69">
        <v>1</v>
      </c>
      <c r="S69" s="18" t="s">
        <v>663</v>
      </c>
    </row>
    <row r="70" spans="1:19">
      <c r="A70" t="s">
        <v>426</v>
      </c>
      <c r="B70" t="s">
        <v>427</v>
      </c>
      <c r="C70" s="4">
        <v>45953</v>
      </c>
      <c r="D70">
        <v>24</v>
      </c>
      <c r="E70" s="5">
        <v>5</v>
      </c>
      <c r="F70" s="6">
        <v>0</v>
      </c>
      <c r="G70" s="3">
        <v>243</v>
      </c>
      <c r="H70">
        <v>22</v>
      </c>
      <c r="I70" s="10">
        <v>0.93520000000000003</v>
      </c>
      <c r="J70" s="3">
        <v>31506</v>
      </c>
      <c r="K70" s="7">
        <v>115.2106</v>
      </c>
      <c r="L70" s="5">
        <v>31</v>
      </c>
      <c r="M70" s="8"/>
      <c r="N70" s="5">
        <v>2763</v>
      </c>
      <c r="O70" s="9">
        <v>5.3900000000000003E-2</v>
      </c>
      <c r="P70" t="s">
        <v>540</v>
      </c>
      <c r="Q70">
        <v>29464.411199999999</v>
      </c>
      <c r="R70">
        <v>1</v>
      </c>
      <c r="S70" s="18" t="s">
        <v>665</v>
      </c>
    </row>
    <row r="71" spans="1:19">
      <c r="A71" t="s">
        <v>434</v>
      </c>
      <c r="B71" t="s">
        <v>435</v>
      </c>
      <c r="C71" s="4">
        <v>45954</v>
      </c>
      <c r="D71">
        <v>24</v>
      </c>
      <c r="E71" s="5">
        <v>5</v>
      </c>
      <c r="F71" s="6">
        <v>1</v>
      </c>
      <c r="G71" s="3">
        <v>200</v>
      </c>
      <c r="H71">
        <v>22</v>
      </c>
      <c r="I71" s="10">
        <v>0.95320000000000005</v>
      </c>
      <c r="J71" s="3">
        <v>31718</v>
      </c>
      <c r="K71" s="7">
        <v>108.1288</v>
      </c>
      <c r="L71" s="5">
        <v>23</v>
      </c>
      <c r="M71" s="8"/>
      <c r="N71" s="5">
        <v>3391</v>
      </c>
      <c r="O71" s="9">
        <v>3.5099999999999999E-2</v>
      </c>
      <c r="P71" t="s">
        <v>540</v>
      </c>
      <c r="Q71">
        <v>30233.597599999997</v>
      </c>
      <c r="R71">
        <v>1</v>
      </c>
      <c r="S71" s="18" t="s">
        <v>667</v>
      </c>
    </row>
    <row r="72" spans="1:19">
      <c r="A72" t="s">
        <v>249</v>
      </c>
      <c r="B72" t="s">
        <v>250</v>
      </c>
      <c r="C72" s="4">
        <v>45955</v>
      </c>
      <c r="D72">
        <v>19</v>
      </c>
      <c r="E72" s="5">
        <v>101</v>
      </c>
      <c r="F72" s="6">
        <v>6</v>
      </c>
      <c r="G72" s="3">
        <v>4341</v>
      </c>
      <c r="H72">
        <v>19</v>
      </c>
      <c r="I72" s="10">
        <v>1.0149999999999999</v>
      </c>
      <c r="J72" s="3">
        <v>1053492</v>
      </c>
      <c r="K72" s="7">
        <v>2883.2217000000001</v>
      </c>
      <c r="L72" s="5">
        <v>554</v>
      </c>
      <c r="M72" s="8">
        <v>0</v>
      </c>
      <c r="N72" s="5">
        <v>4764</v>
      </c>
      <c r="O72" s="9">
        <v>2.9399999999999999E-2</v>
      </c>
      <c r="P72" t="s">
        <v>540</v>
      </c>
      <c r="Q72">
        <v>1069294.3799999999</v>
      </c>
      <c r="R72">
        <v>1</v>
      </c>
      <c r="S72" s="18" t="s">
        <v>578</v>
      </c>
    </row>
    <row r="73" spans="1:19">
      <c r="A73" t="s">
        <v>408</v>
      </c>
      <c r="B73" t="s">
        <v>409</v>
      </c>
      <c r="C73" s="4">
        <v>45956</v>
      </c>
      <c r="D73">
        <v>20</v>
      </c>
      <c r="E73" s="5">
        <v>7</v>
      </c>
      <c r="F73" s="6">
        <v>0</v>
      </c>
      <c r="G73" s="3">
        <v>636</v>
      </c>
      <c r="H73">
        <v>19</v>
      </c>
      <c r="I73" s="10">
        <v>0.98219999999999996</v>
      </c>
      <c r="J73" s="3">
        <v>41189</v>
      </c>
      <c r="K73" s="7">
        <v>119.0731</v>
      </c>
      <c r="L73" s="5">
        <v>20</v>
      </c>
      <c r="M73" s="8"/>
      <c r="N73" s="5">
        <v>2360</v>
      </c>
      <c r="O73" s="9">
        <v>1.9099999999999999E-2</v>
      </c>
      <c r="P73" t="s">
        <v>541</v>
      </c>
      <c r="Q73">
        <v>40455.835800000001</v>
      </c>
      <c r="R73">
        <v>1</v>
      </c>
      <c r="S73" s="18" t="s">
        <v>669</v>
      </c>
    </row>
    <row r="74" spans="1:19">
      <c r="A74" t="s">
        <v>512</v>
      </c>
      <c r="B74" t="s">
        <v>513</v>
      </c>
      <c r="C74" s="4">
        <v>45957</v>
      </c>
      <c r="D74">
        <v>20</v>
      </c>
      <c r="E74" s="5">
        <v>1</v>
      </c>
      <c r="F74" s="6">
        <v>3</v>
      </c>
      <c r="G74" s="3">
        <v>399</v>
      </c>
      <c r="H74">
        <v>19</v>
      </c>
      <c r="I74" s="10">
        <v>0.97399999999999998</v>
      </c>
      <c r="J74" s="3">
        <v>33590</v>
      </c>
      <c r="K74" s="7">
        <v>99.583799999999997</v>
      </c>
      <c r="L74" s="5">
        <v>20</v>
      </c>
      <c r="M74" s="8"/>
      <c r="N74" s="5">
        <v>2962</v>
      </c>
      <c r="O74" s="9">
        <v>2.4E-2</v>
      </c>
      <c r="P74" t="s">
        <v>541</v>
      </c>
      <c r="Q74">
        <v>32716.660000000003</v>
      </c>
      <c r="R74">
        <v>1</v>
      </c>
      <c r="S74" s="18" t="s">
        <v>671</v>
      </c>
    </row>
    <row r="75" spans="1:19">
      <c r="A75" t="s">
        <v>490</v>
      </c>
      <c r="B75" t="s">
        <v>491</v>
      </c>
      <c r="C75" s="4">
        <v>45958</v>
      </c>
      <c r="D75">
        <v>19</v>
      </c>
      <c r="E75" s="5">
        <v>2</v>
      </c>
      <c r="F75" s="6">
        <v>2</v>
      </c>
      <c r="G75" s="3">
        <v>488</v>
      </c>
      <c r="H75">
        <v>18</v>
      </c>
      <c r="I75" s="10">
        <v>0.9516</v>
      </c>
      <c r="J75" s="3">
        <v>30527</v>
      </c>
      <c r="K75" s="7">
        <v>84.889600000000002</v>
      </c>
      <c r="L75" s="5">
        <v>34</v>
      </c>
      <c r="M75" s="8"/>
      <c r="N75" s="5">
        <v>2861</v>
      </c>
      <c r="O75" s="9">
        <v>1.7500000000000002E-2</v>
      </c>
      <c r="P75" t="s">
        <v>541</v>
      </c>
      <c r="Q75">
        <v>29049.493200000001</v>
      </c>
      <c r="R75">
        <v>1</v>
      </c>
      <c r="S75" s="18" t="s">
        <v>672</v>
      </c>
    </row>
    <row r="76" spans="1:19">
      <c r="A76" t="s">
        <v>444</v>
      </c>
      <c r="B76" t="s">
        <v>445</v>
      </c>
      <c r="C76" s="4">
        <v>45959</v>
      </c>
      <c r="D76">
        <v>19</v>
      </c>
      <c r="E76" s="5">
        <v>4</v>
      </c>
      <c r="F76" s="6">
        <v>4</v>
      </c>
      <c r="G76" s="3">
        <v>325</v>
      </c>
      <c r="H76">
        <v>18</v>
      </c>
      <c r="I76" s="10">
        <v>0.96919999999999995</v>
      </c>
      <c r="J76" s="3">
        <v>28520</v>
      </c>
      <c r="K76" s="7">
        <v>85.729799999999997</v>
      </c>
      <c r="L76" s="5">
        <v>30</v>
      </c>
      <c r="M76" s="8"/>
      <c r="N76" s="5">
        <v>2551</v>
      </c>
      <c r="O76" s="9">
        <v>1.5299999999999999E-2</v>
      </c>
      <c r="P76" t="s">
        <v>541</v>
      </c>
      <c r="Q76">
        <v>27641.584000000003</v>
      </c>
      <c r="R76">
        <v>1</v>
      </c>
      <c r="S76" s="18" t="s">
        <v>674</v>
      </c>
    </row>
    <row r="77" spans="1:19">
      <c r="A77" t="s">
        <v>343</v>
      </c>
      <c r="B77" t="s">
        <v>344</v>
      </c>
      <c r="C77" s="4">
        <v>45960</v>
      </c>
      <c r="D77">
        <v>19</v>
      </c>
      <c r="E77" s="5">
        <v>13</v>
      </c>
      <c r="F77" s="6">
        <v>2</v>
      </c>
      <c r="G77" s="3">
        <v>2071</v>
      </c>
      <c r="H77">
        <v>16</v>
      </c>
      <c r="I77" s="10">
        <v>0.8669</v>
      </c>
      <c r="J77" s="3">
        <v>252357</v>
      </c>
      <c r="K77" s="7">
        <v>629.17610000000002</v>
      </c>
      <c r="L77" s="5">
        <v>89</v>
      </c>
      <c r="M77" s="8">
        <v>0</v>
      </c>
      <c r="N77" s="5">
        <v>4058</v>
      </c>
      <c r="O77" s="9">
        <v>2.2700000000000001E-2</v>
      </c>
      <c r="P77" t="s">
        <v>541</v>
      </c>
      <c r="Q77">
        <v>218768.28330000001</v>
      </c>
      <c r="R77">
        <v>1</v>
      </c>
      <c r="S77" s="18" t="s">
        <v>651</v>
      </c>
    </row>
    <row r="78" spans="1:19">
      <c r="A78" t="s">
        <v>237</v>
      </c>
      <c r="B78" t="s">
        <v>238</v>
      </c>
      <c r="C78" s="4">
        <v>45961</v>
      </c>
      <c r="D78">
        <v>19</v>
      </c>
      <c r="E78" s="5">
        <v>711</v>
      </c>
      <c r="F78" s="6">
        <v>147</v>
      </c>
      <c r="G78" s="3">
        <v>108504</v>
      </c>
      <c r="H78">
        <v>18</v>
      </c>
      <c r="I78" s="10">
        <v>0.95630000000000004</v>
      </c>
      <c r="J78" s="3">
        <v>12066018</v>
      </c>
      <c r="K78" s="7">
        <v>31168.413</v>
      </c>
      <c r="L78" s="5">
        <v>4020</v>
      </c>
      <c r="M78" s="8">
        <v>1.7999999999999999E-2</v>
      </c>
      <c r="N78" s="5">
        <v>22086</v>
      </c>
      <c r="O78" s="9">
        <v>2.58E-2</v>
      </c>
      <c r="P78" t="s">
        <v>541</v>
      </c>
      <c r="Q78">
        <v>11538733.0134</v>
      </c>
      <c r="R78">
        <v>1</v>
      </c>
      <c r="S78" s="18" t="s">
        <v>566</v>
      </c>
    </row>
    <row r="79" spans="1:19">
      <c r="A79" t="s">
        <v>450</v>
      </c>
      <c r="B79" t="s">
        <v>451</v>
      </c>
      <c r="C79" s="4">
        <v>45962</v>
      </c>
      <c r="D79">
        <v>19</v>
      </c>
      <c r="E79" s="5">
        <v>4</v>
      </c>
      <c r="F79" s="6">
        <v>2</v>
      </c>
      <c r="G79" s="3">
        <v>746</v>
      </c>
      <c r="H79">
        <v>16</v>
      </c>
      <c r="I79" s="10">
        <v>0.86599999999999999</v>
      </c>
      <c r="J79" s="3">
        <v>74839</v>
      </c>
      <c r="K79" s="7">
        <v>195.95240000000001</v>
      </c>
      <c r="L79" s="5">
        <v>46</v>
      </c>
      <c r="M79" s="8"/>
      <c r="N79" s="5">
        <v>3857</v>
      </c>
      <c r="O79" s="9">
        <v>5.0299999999999997E-2</v>
      </c>
      <c r="P79" t="s">
        <v>541</v>
      </c>
      <c r="Q79">
        <v>64810.574000000001</v>
      </c>
      <c r="R79">
        <v>1</v>
      </c>
      <c r="S79" s="18" t="s">
        <v>677</v>
      </c>
    </row>
    <row r="80" spans="1:19">
      <c r="A80" t="s">
        <v>392</v>
      </c>
      <c r="B80" t="s">
        <v>393</v>
      </c>
      <c r="C80" s="4">
        <v>45963</v>
      </c>
      <c r="D80">
        <v>19</v>
      </c>
      <c r="E80" s="5">
        <v>7</v>
      </c>
      <c r="F80" s="6">
        <v>2</v>
      </c>
      <c r="G80" s="3">
        <v>729</v>
      </c>
      <c r="H80">
        <v>20</v>
      </c>
      <c r="I80" s="10">
        <v>1.0622</v>
      </c>
      <c r="J80" s="3">
        <v>53140</v>
      </c>
      <c r="K80" s="7">
        <v>156.24600000000001</v>
      </c>
      <c r="L80" s="5">
        <v>34</v>
      </c>
      <c r="M80" s="8"/>
      <c r="N80" s="5">
        <v>4361</v>
      </c>
      <c r="O80" s="9">
        <v>4.7199999999999999E-2</v>
      </c>
      <c r="P80" t="s">
        <v>541</v>
      </c>
      <c r="Q80">
        <v>56445.308000000005</v>
      </c>
      <c r="R80">
        <v>1</v>
      </c>
      <c r="S80" s="18" t="s">
        <v>678</v>
      </c>
    </row>
    <row r="81" spans="1:19">
      <c r="A81" t="s">
        <v>420</v>
      </c>
      <c r="B81" t="s">
        <v>421</v>
      </c>
      <c r="C81" s="4">
        <v>45964</v>
      </c>
      <c r="D81">
        <v>19</v>
      </c>
      <c r="E81" s="5">
        <v>5</v>
      </c>
      <c r="F81" s="6">
        <v>2</v>
      </c>
      <c r="G81" s="3">
        <v>413</v>
      </c>
      <c r="H81">
        <v>17</v>
      </c>
      <c r="I81" s="10">
        <v>0.8952</v>
      </c>
      <c r="J81" s="3">
        <v>36173</v>
      </c>
      <c r="K81" s="7">
        <v>94.573700000000002</v>
      </c>
      <c r="L81" s="5">
        <v>23</v>
      </c>
      <c r="M81" s="8"/>
      <c r="N81" s="5">
        <v>3083</v>
      </c>
      <c r="O81" s="9">
        <v>7.5300000000000006E-2</v>
      </c>
      <c r="P81" t="s">
        <v>541</v>
      </c>
      <c r="Q81">
        <v>32382.069599999999</v>
      </c>
      <c r="R81">
        <v>1</v>
      </c>
      <c r="S81" s="18" t="s">
        <v>680</v>
      </c>
    </row>
    <row r="82" spans="1:19">
      <c r="A82" t="s">
        <v>486</v>
      </c>
      <c r="B82" t="s">
        <v>487</v>
      </c>
      <c r="C82" s="4">
        <v>45965</v>
      </c>
      <c r="D82">
        <v>19</v>
      </c>
      <c r="E82" s="5">
        <v>2</v>
      </c>
      <c r="F82" s="6">
        <v>3</v>
      </c>
      <c r="G82" s="3">
        <v>189</v>
      </c>
      <c r="H82">
        <v>17</v>
      </c>
      <c r="I82" s="10">
        <v>0.90969999999999995</v>
      </c>
      <c r="J82" s="3">
        <v>30386</v>
      </c>
      <c r="K82" s="7">
        <v>78.634500000000003</v>
      </c>
      <c r="L82" s="5">
        <v>10</v>
      </c>
      <c r="M82" s="8"/>
      <c r="N82" s="5">
        <v>3231</v>
      </c>
      <c r="O82" s="9">
        <v>5.2600000000000001E-2</v>
      </c>
      <c r="P82" t="s">
        <v>541</v>
      </c>
      <c r="Q82">
        <v>27642.144199999999</v>
      </c>
      <c r="R82">
        <v>1</v>
      </c>
      <c r="S82" s="18" t="s">
        <v>681</v>
      </c>
    </row>
    <row r="83" spans="1:19">
      <c r="A83" t="s">
        <v>522</v>
      </c>
      <c r="B83" t="s">
        <v>523</v>
      </c>
      <c r="C83" s="4">
        <v>45966</v>
      </c>
      <c r="D83">
        <v>18</v>
      </c>
      <c r="E83" s="5">
        <v>0</v>
      </c>
      <c r="F83" s="6">
        <v>1</v>
      </c>
      <c r="G83" s="3">
        <v>262</v>
      </c>
      <c r="H83">
        <v>16</v>
      </c>
      <c r="I83" s="10">
        <v>0.92749999999999999</v>
      </c>
      <c r="J83" s="3">
        <v>32210</v>
      </c>
      <c r="K83" s="7">
        <v>74.808999999999997</v>
      </c>
      <c r="L83" s="5">
        <v>10</v>
      </c>
      <c r="M83" s="8"/>
      <c r="N83" s="5">
        <v>1616</v>
      </c>
      <c r="O83" s="9">
        <v>4.8300000000000003E-2</v>
      </c>
      <c r="P83" t="s">
        <v>541</v>
      </c>
      <c r="Q83">
        <v>29874.775000000001</v>
      </c>
      <c r="R83">
        <v>1</v>
      </c>
      <c r="S83" s="18" t="s">
        <v>682</v>
      </c>
    </row>
    <row r="84" spans="1:19">
      <c r="A84" t="s">
        <v>530</v>
      </c>
      <c r="B84" t="s">
        <v>531</v>
      </c>
      <c r="C84" s="4">
        <v>45966</v>
      </c>
      <c r="D84">
        <v>19</v>
      </c>
      <c r="E84" s="5">
        <v>0</v>
      </c>
      <c r="F84" s="6">
        <v>0</v>
      </c>
      <c r="G84" s="3">
        <v>115</v>
      </c>
      <c r="H84">
        <v>16</v>
      </c>
      <c r="I84" s="10">
        <v>0.88790000000000002</v>
      </c>
      <c r="J84" s="3">
        <v>13462</v>
      </c>
      <c r="K84" s="7">
        <v>34.205300000000001</v>
      </c>
      <c r="L84" s="5">
        <v>11</v>
      </c>
      <c r="M84" s="8"/>
      <c r="N84" s="5">
        <v>1911</v>
      </c>
      <c r="O84" s="9">
        <v>5.91E-2</v>
      </c>
      <c r="P84" t="s">
        <v>541</v>
      </c>
      <c r="Q84">
        <v>11952.909799999999</v>
      </c>
      <c r="R84">
        <v>1</v>
      </c>
      <c r="S84" s="18" t="s">
        <v>683</v>
      </c>
    </row>
    <row r="85" spans="1:19">
      <c r="A85" t="s">
        <v>452</v>
      </c>
      <c r="B85" t="s">
        <v>453</v>
      </c>
      <c r="C85" s="4">
        <v>45967</v>
      </c>
      <c r="D85">
        <v>17</v>
      </c>
      <c r="E85" s="5">
        <v>4</v>
      </c>
      <c r="F85" s="6">
        <v>1</v>
      </c>
      <c r="G85" s="3">
        <v>292</v>
      </c>
      <c r="H85">
        <v>17</v>
      </c>
      <c r="I85" s="10">
        <v>1.0004999999999999</v>
      </c>
      <c r="J85" s="3">
        <v>28913</v>
      </c>
      <c r="K85" s="7">
        <v>75.426199999999994</v>
      </c>
      <c r="L85" s="5">
        <v>13</v>
      </c>
      <c r="M85" s="8"/>
      <c r="N85" s="5">
        <v>1731</v>
      </c>
      <c r="O85" s="9">
        <v>4.6800000000000001E-2</v>
      </c>
      <c r="P85" t="s">
        <v>541</v>
      </c>
      <c r="Q85">
        <v>28927.456499999997</v>
      </c>
      <c r="R85">
        <v>1</v>
      </c>
      <c r="S85" s="18" t="s">
        <v>685</v>
      </c>
    </row>
    <row r="86" spans="1:19">
      <c r="A86" t="s">
        <v>504</v>
      </c>
      <c r="B86" t="s">
        <v>505</v>
      </c>
      <c r="C86" s="4">
        <v>45967</v>
      </c>
      <c r="D86">
        <v>18</v>
      </c>
      <c r="E86" s="5">
        <v>1</v>
      </c>
      <c r="F86" s="6">
        <v>1</v>
      </c>
      <c r="G86" s="3">
        <v>164</v>
      </c>
      <c r="H86">
        <v>17</v>
      </c>
      <c r="I86" s="10">
        <v>0.95740000000000003</v>
      </c>
      <c r="J86" s="3">
        <v>20409</v>
      </c>
      <c r="K86" s="7">
        <v>47.665599999999998</v>
      </c>
      <c r="L86" s="5">
        <v>9</v>
      </c>
      <c r="M86" s="8"/>
      <c r="N86" s="5">
        <v>1534</v>
      </c>
      <c r="O86" s="9">
        <v>4.4999999999999998E-2</v>
      </c>
      <c r="P86" t="s">
        <v>541</v>
      </c>
      <c r="Q86">
        <v>19539.576599999997</v>
      </c>
      <c r="R86">
        <v>1</v>
      </c>
      <c r="S86" s="18" t="s">
        <v>686</v>
      </c>
    </row>
    <row r="87" spans="1:19">
      <c r="A87" t="s">
        <v>418</v>
      </c>
      <c r="B87" t="s">
        <v>419</v>
      </c>
      <c r="C87" s="4">
        <v>45968</v>
      </c>
      <c r="D87">
        <v>17</v>
      </c>
      <c r="E87" s="5">
        <v>5</v>
      </c>
      <c r="F87" s="6">
        <v>3</v>
      </c>
      <c r="G87" s="3">
        <v>303</v>
      </c>
      <c r="H87">
        <v>15</v>
      </c>
      <c r="I87" s="10">
        <v>0.92569999999999997</v>
      </c>
      <c r="J87" s="3">
        <v>29328</v>
      </c>
      <c r="K87" s="7">
        <v>65.654200000000003</v>
      </c>
      <c r="L87" s="5">
        <v>22</v>
      </c>
      <c r="M87" s="8"/>
      <c r="N87" s="5">
        <v>1920</v>
      </c>
      <c r="O87" s="9">
        <v>5.0999999999999997E-2</v>
      </c>
      <c r="P87" t="s">
        <v>541</v>
      </c>
      <c r="Q87">
        <v>27148.929599999999</v>
      </c>
      <c r="R87">
        <v>1</v>
      </c>
      <c r="S87" s="18" t="s">
        <v>688</v>
      </c>
    </row>
    <row r="88" spans="1:19">
      <c r="A88" t="s">
        <v>506</v>
      </c>
      <c r="B88" t="s">
        <v>507</v>
      </c>
      <c r="C88" s="4">
        <v>45968</v>
      </c>
      <c r="D88">
        <v>19</v>
      </c>
      <c r="E88" s="5">
        <v>1</v>
      </c>
      <c r="F88" s="6">
        <v>0</v>
      </c>
      <c r="G88" s="3">
        <v>268</v>
      </c>
      <c r="H88">
        <v>18</v>
      </c>
      <c r="I88" s="10">
        <v>0.99650000000000005</v>
      </c>
      <c r="J88" s="3">
        <v>30135</v>
      </c>
      <c r="K88" s="7">
        <v>89.074700000000007</v>
      </c>
      <c r="L88" s="5">
        <v>13</v>
      </c>
      <c r="M88" s="8"/>
      <c r="N88" s="5">
        <v>1288</v>
      </c>
      <c r="O88" s="9">
        <v>2.4799999999999999E-2</v>
      </c>
      <c r="P88" t="s">
        <v>541</v>
      </c>
      <c r="Q88">
        <v>30029.5275</v>
      </c>
      <c r="R88">
        <v>1</v>
      </c>
      <c r="S88" s="18" t="s">
        <v>690</v>
      </c>
    </row>
    <row r="89" spans="1:19">
      <c r="A89" t="s">
        <v>466</v>
      </c>
      <c r="B89" t="s">
        <v>467</v>
      </c>
      <c r="C89" s="4">
        <v>45969</v>
      </c>
      <c r="D89">
        <v>18</v>
      </c>
      <c r="E89" s="5">
        <v>3</v>
      </c>
      <c r="F89" s="6">
        <v>0</v>
      </c>
      <c r="G89" s="3">
        <v>340</v>
      </c>
      <c r="H89">
        <v>17</v>
      </c>
      <c r="I89" s="10">
        <v>0.98060000000000003</v>
      </c>
      <c r="J89" s="3">
        <v>39377</v>
      </c>
      <c r="K89" s="7">
        <v>104.54470000000001</v>
      </c>
      <c r="L89" s="5">
        <v>19</v>
      </c>
      <c r="M89" s="8">
        <v>0</v>
      </c>
      <c r="N89" s="5">
        <v>1378</v>
      </c>
      <c r="O89" s="9">
        <v>2.0299999999999999E-2</v>
      </c>
      <c r="P89" t="s">
        <v>541</v>
      </c>
      <c r="Q89">
        <v>38613.086199999998</v>
      </c>
      <c r="R89">
        <v>1</v>
      </c>
      <c r="S89" s="18" t="s">
        <v>692</v>
      </c>
    </row>
    <row r="90" spans="1:19">
      <c r="A90" t="s">
        <v>480</v>
      </c>
      <c r="B90" t="s">
        <v>481</v>
      </c>
      <c r="C90" s="4">
        <v>45969</v>
      </c>
      <c r="D90">
        <v>17</v>
      </c>
      <c r="E90" s="5">
        <v>2</v>
      </c>
      <c r="F90" s="6">
        <v>2</v>
      </c>
      <c r="G90" s="3">
        <v>186</v>
      </c>
      <c r="H90">
        <v>16</v>
      </c>
      <c r="I90" s="10">
        <v>0.98419999999999996</v>
      </c>
      <c r="J90" s="3">
        <v>23585</v>
      </c>
      <c r="K90" s="7">
        <v>56.042999999999999</v>
      </c>
      <c r="L90" s="5">
        <v>5</v>
      </c>
      <c r="M90" s="8">
        <v>0</v>
      </c>
      <c r="N90" s="5">
        <v>1137</v>
      </c>
      <c r="O90" s="9">
        <v>4.0500000000000001E-2</v>
      </c>
      <c r="P90" t="s">
        <v>541</v>
      </c>
      <c r="Q90">
        <v>23212.357</v>
      </c>
      <c r="R90">
        <v>1</v>
      </c>
      <c r="S90" s="18" t="s">
        <v>694</v>
      </c>
    </row>
    <row r="91" spans="1:19">
      <c r="A91" t="s">
        <v>510</v>
      </c>
      <c r="B91" t="s">
        <v>511</v>
      </c>
      <c r="C91" s="4">
        <v>45970</v>
      </c>
      <c r="D91">
        <v>18</v>
      </c>
      <c r="E91" s="5">
        <v>1</v>
      </c>
      <c r="F91" s="6">
        <v>0</v>
      </c>
      <c r="G91" s="3">
        <v>206</v>
      </c>
      <c r="H91">
        <v>15</v>
      </c>
      <c r="I91" s="10">
        <v>0.86409999999999998</v>
      </c>
      <c r="J91" s="3">
        <v>23315</v>
      </c>
      <c r="K91" s="7">
        <v>56.052399999999999</v>
      </c>
      <c r="L91" s="5">
        <v>15</v>
      </c>
      <c r="M91" s="8"/>
      <c r="N91" s="5">
        <v>1344</v>
      </c>
      <c r="O91" s="9">
        <v>3.8699999999999998E-2</v>
      </c>
      <c r="P91" t="s">
        <v>541</v>
      </c>
      <c r="Q91">
        <v>20146.4915</v>
      </c>
      <c r="R91">
        <v>1</v>
      </c>
      <c r="S91" s="18" t="s">
        <v>695</v>
      </c>
    </row>
    <row r="92" spans="1:19">
      <c r="A92" t="s">
        <v>347</v>
      </c>
      <c r="B92" t="s">
        <v>348</v>
      </c>
      <c r="C92" s="4">
        <v>45971</v>
      </c>
      <c r="D92">
        <v>18</v>
      </c>
      <c r="E92" s="5">
        <v>13</v>
      </c>
      <c r="F92" s="6">
        <v>1</v>
      </c>
      <c r="G92" s="3">
        <v>1513</v>
      </c>
      <c r="H92">
        <v>17</v>
      </c>
      <c r="I92" s="10">
        <v>0.94799999999999995</v>
      </c>
      <c r="J92" s="3">
        <v>133627</v>
      </c>
      <c r="K92" s="7">
        <v>336.69200000000001</v>
      </c>
      <c r="L92" s="5">
        <v>40</v>
      </c>
      <c r="M92" s="8">
        <v>0</v>
      </c>
      <c r="N92" s="5">
        <v>1662</v>
      </c>
      <c r="O92" s="9">
        <v>1.8700000000000001E-2</v>
      </c>
      <c r="P92" t="s">
        <v>541</v>
      </c>
      <c r="Q92">
        <v>126678.39599999999</v>
      </c>
      <c r="R92">
        <v>1</v>
      </c>
      <c r="S92" s="18" t="s">
        <v>655</v>
      </c>
    </row>
    <row r="93" spans="1:19">
      <c r="A93" t="s">
        <v>400</v>
      </c>
      <c r="B93" t="s">
        <v>401</v>
      </c>
      <c r="C93" s="4">
        <v>45971</v>
      </c>
      <c r="D93">
        <v>19</v>
      </c>
      <c r="E93" s="5">
        <v>7</v>
      </c>
      <c r="F93" s="6">
        <v>1</v>
      </c>
      <c r="G93" s="3">
        <v>431</v>
      </c>
      <c r="H93">
        <v>16</v>
      </c>
      <c r="I93" s="10">
        <v>0.88270000000000004</v>
      </c>
      <c r="J93" s="3">
        <v>33703</v>
      </c>
      <c r="K93" s="7">
        <v>85.163399999999996</v>
      </c>
      <c r="L93" s="5">
        <v>15</v>
      </c>
      <c r="M93" s="8"/>
      <c r="N93" s="5">
        <v>1504</v>
      </c>
      <c r="O93" s="9">
        <v>3.2599999999999997E-2</v>
      </c>
      <c r="P93" t="s">
        <v>541</v>
      </c>
      <c r="Q93">
        <v>29749.638099999996</v>
      </c>
      <c r="R93">
        <v>1</v>
      </c>
      <c r="S93" s="18" t="s">
        <v>689</v>
      </c>
    </row>
    <row r="94" spans="1:19">
      <c r="A94" t="s">
        <v>520</v>
      </c>
      <c r="B94" t="s">
        <v>521</v>
      </c>
      <c r="C94" s="4">
        <v>45971</v>
      </c>
      <c r="D94">
        <v>18</v>
      </c>
      <c r="E94" s="5">
        <v>0</v>
      </c>
      <c r="F94" s="6">
        <v>1</v>
      </c>
      <c r="G94" s="3">
        <v>288</v>
      </c>
      <c r="H94">
        <v>16</v>
      </c>
      <c r="I94" s="10">
        <v>0.93820000000000003</v>
      </c>
      <c r="J94" s="3">
        <v>33071</v>
      </c>
      <c r="K94" s="7">
        <v>82.963700000000003</v>
      </c>
      <c r="L94" s="5">
        <v>11</v>
      </c>
      <c r="M94" s="8"/>
      <c r="N94" s="5">
        <v>1225</v>
      </c>
      <c r="O94" s="9">
        <v>2.4500000000000001E-2</v>
      </c>
      <c r="P94" t="s">
        <v>541</v>
      </c>
      <c r="Q94">
        <v>31027.212199999998</v>
      </c>
      <c r="R94">
        <v>1</v>
      </c>
      <c r="S94" s="18" t="s">
        <v>697</v>
      </c>
    </row>
    <row r="95" spans="1:19">
      <c r="A95" t="s">
        <v>532</v>
      </c>
      <c r="B95" t="s">
        <v>533</v>
      </c>
      <c r="C95" s="4">
        <v>45972</v>
      </c>
      <c r="D95">
        <v>19</v>
      </c>
      <c r="E95" s="5">
        <v>0</v>
      </c>
      <c r="F95" s="6">
        <v>0</v>
      </c>
      <c r="G95" s="3">
        <v>160</v>
      </c>
      <c r="H95">
        <v>17</v>
      </c>
      <c r="I95" s="10">
        <v>0.89759999999999995</v>
      </c>
      <c r="J95" s="3">
        <v>17395</v>
      </c>
      <c r="K95" s="7">
        <v>42.854100000000003</v>
      </c>
      <c r="L95" s="5">
        <v>6</v>
      </c>
      <c r="M95" s="8"/>
      <c r="N95" s="5">
        <v>1479</v>
      </c>
      <c r="O95" s="9">
        <v>2.1000000000000001E-2</v>
      </c>
      <c r="P95" t="s">
        <v>541</v>
      </c>
      <c r="Q95">
        <v>15613.752</v>
      </c>
      <c r="R95">
        <v>1</v>
      </c>
      <c r="S95" s="18" t="s">
        <v>698</v>
      </c>
    </row>
    <row r="96" spans="1:19">
      <c r="A96" t="s">
        <v>514</v>
      </c>
      <c r="B96" t="s">
        <v>515</v>
      </c>
      <c r="C96" s="4">
        <v>45973</v>
      </c>
      <c r="D96">
        <v>18</v>
      </c>
      <c r="E96" s="5">
        <v>0</v>
      </c>
      <c r="F96" s="6">
        <v>1</v>
      </c>
      <c r="G96" s="3">
        <v>150</v>
      </c>
      <c r="H96">
        <v>16</v>
      </c>
      <c r="I96" s="10">
        <v>0.9204</v>
      </c>
      <c r="J96" s="3">
        <v>15898</v>
      </c>
      <c r="K96" s="7">
        <v>40.941800000000001</v>
      </c>
      <c r="L96" s="5">
        <v>13</v>
      </c>
      <c r="M96" s="8">
        <v>0</v>
      </c>
      <c r="N96" s="5">
        <v>1583</v>
      </c>
      <c r="O96" s="9">
        <v>2.9100000000000001E-2</v>
      </c>
      <c r="P96" t="s">
        <v>541</v>
      </c>
      <c r="Q96">
        <v>14632.519200000002</v>
      </c>
      <c r="R96">
        <v>1</v>
      </c>
      <c r="S96" s="18" t="s">
        <v>700</v>
      </c>
    </row>
    <row r="97" spans="1:19">
      <c r="A97" t="s">
        <v>516</v>
      </c>
      <c r="B97" t="s">
        <v>517</v>
      </c>
      <c r="C97" s="4">
        <v>45974</v>
      </c>
      <c r="D97">
        <v>23</v>
      </c>
      <c r="E97" s="5">
        <v>0</v>
      </c>
      <c r="F97" s="6">
        <v>0</v>
      </c>
      <c r="G97" s="3">
        <v>254</v>
      </c>
      <c r="H97">
        <v>19</v>
      </c>
      <c r="I97" s="10">
        <v>0.86499999999999999</v>
      </c>
      <c r="J97" s="3">
        <v>18904</v>
      </c>
      <c r="K97" s="7">
        <v>56.851700000000001</v>
      </c>
      <c r="L97" s="5">
        <v>6</v>
      </c>
      <c r="M97" s="8"/>
      <c r="N97" s="5">
        <v>1694</v>
      </c>
      <c r="O97" s="9">
        <v>1.95E-2</v>
      </c>
      <c r="P97" t="s">
        <v>541</v>
      </c>
      <c r="Q97">
        <v>16351.96</v>
      </c>
      <c r="R97">
        <v>1</v>
      </c>
      <c r="S97" s="18" t="s">
        <v>701</v>
      </c>
    </row>
    <row r="98" spans="1:19">
      <c r="A98" t="s">
        <v>279</v>
      </c>
      <c r="B98" t="s">
        <v>280</v>
      </c>
      <c r="C98" s="4">
        <v>45975</v>
      </c>
      <c r="D98">
        <v>22</v>
      </c>
      <c r="E98" s="5">
        <v>28</v>
      </c>
      <c r="F98" s="6">
        <v>4</v>
      </c>
      <c r="G98" s="3">
        <v>3673</v>
      </c>
      <c r="H98">
        <v>17</v>
      </c>
      <c r="I98" s="10">
        <v>0.79459999999999997</v>
      </c>
      <c r="J98" s="3">
        <v>1035157</v>
      </c>
      <c r="K98" s="7">
        <v>3000.1889999999999</v>
      </c>
      <c r="L98" s="5">
        <v>316</v>
      </c>
      <c r="M98" s="8">
        <v>6.0000000000000001E-3</v>
      </c>
      <c r="N98" s="5">
        <v>11108</v>
      </c>
      <c r="O98" s="9">
        <v>9.7500000000000003E-2</v>
      </c>
      <c r="P98" t="s">
        <v>541</v>
      </c>
      <c r="Q98">
        <v>822535.75219999999</v>
      </c>
      <c r="R98">
        <v>1</v>
      </c>
      <c r="S98" s="18" t="s">
        <v>604</v>
      </c>
    </row>
    <row r="99" spans="1:19">
      <c r="A99" t="s">
        <v>508</v>
      </c>
      <c r="B99" t="s">
        <v>509</v>
      </c>
      <c r="C99" s="4">
        <v>45976</v>
      </c>
      <c r="D99">
        <v>19</v>
      </c>
      <c r="E99" s="5">
        <v>1</v>
      </c>
      <c r="F99" s="6">
        <v>0</v>
      </c>
      <c r="G99" s="3">
        <v>345</v>
      </c>
      <c r="H99">
        <v>19</v>
      </c>
      <c r="I99" s="10">
        <v>1.0408999999999999</v>
      </c>
      <c r="J99" s="3">
        <v>35233</v>
      </c>
      <c r="K99" s="7">
        <v>98.462400000000002</v>
      </c>
      <c r="L99" s="5">
        <v>18</v>
      </c>
      <c r="M99" s="8"/>
      <c r="N99" s="5">
        <v>1850</v>
      </c>
      <c r="O99" s="9">
        <v>2.1600000000000001E-2</v>
      </c>
      <c r="P99" t="s">
        <v>541</v>
      </c>
      <c r="Q99">
        <v>36674.029699999999</v>
      </c>
      <c r="R99">
        <v>1</v>
      </c>
      <c r="S99" s="18" t="s">
        <v>703</v>
      </c>
    </row>
    <row r="100" spans="1:19">
      <c r="A100" t="s">
        <v>386</v>
      </c>
      <c r="B100" t="s">
        <v>387</v>
      </c>
      <c r="C100" s="4">
        <v>45977</v>
      </c>
      <c r="D100">
        <v>19</v>
      </c>
      <c r="E100" s="5">
        <v>9</v>
      </c>
      <c r="F100" s="6">
        <v>2</v>
      </c>
      <c r="G100" s="3">
        <v>606</v>
      </c>
      <c r="H100">
        <v>19</v>
      </c>
      <c r="I100" s="10">
        <v>1.0237000000000001</v>
      </c>
      <c r="J100" s="3">
        <v>40754</v>
      </c>
      <c r="K100" s="7">
        <v>113.80670000000001</v>
      </c>
      <c r="L100" s="5">
        <v>21</v>
      </c>
      <c r="M100" s="8"/>
      <c r="N100" s="5">
        <v>2039</v>
      </c>
      <c r="O100" s="9">
        <v>1.8599999999999998E-2</v>
      </c>
      <c r="P100" t="s">
        <v>541</v>
      </c>
      <c r="Q100">
        <v>41719.8698</v>
      </c>
      <c r="R100">
        <v>1</v>
      </c>
      <c r="S100" s="18" t="s">
        <v>679</v>
      </c>
    </row>
    <row r="101" spans="1:19">
      <c r="A101" t="s">
        <v>484</v>
      </c>
      <c r="B101" t="s">
        <v>485</v>
      </c>
      <c r="C101" s="4">
        <v>45978</v>
      </c>
      <c r="D101">
        <v>18</v>
      </c>
      <c r="E101" s="5">
        <v>2</v>
      </c>
      <c r="F101" s="6">
        <v>0</v>
      </c>
      <c r="G101" s="3">
        <v>223</v>
      </c>
      <c r="H101">
        <v>17</v>
      </c>
      <c r="I101" s="10">
        <v>0.9536</v>
      </c>
      <c r="J101" s="3">
        <v>19063</v>
      </c>
      <c r="K101" s="7">
        <v>47.5199</v>
      </c>
      <c r="L101" s="5">
        <v>10</v>
      </c>
      <c r="M101" s="8">
        <v>0</v>
      </c>
      <c r="N101" s="5">
        <v>2059</v>
      </c>
      <c r="O101" s="9">
        <v>5.2900000000000003E-2</v>
      </c>
      <c r="P101" t="s">
        <v>541</v>
      </c>
      <c r="Q101">
        <v>18178.4768</v>
      </c>
      <c r="R101">
        <v>1</v>
      </c>
      <c r="S101" s="18" t="s">
        <v>704</v>
      </c>
    </row>
    <row r="102" spans="1:19">
      <c r="A102" t="s">
        <v>494</v>
      </c>
      <c r="B102" t="s">
        <v>495</v>
      </c>
      <c r="C102" s="4">
        <v>45979</v>
      </c>
      <c r="D102">
        <v>15</v>
      </c>
      <c r="E102" s="5">
        <v>1</v>
      </c>
      <c r="F102" s="6">
        <v>2</v>
      </c>
      <c r="G102" s="3">
        <v>69</v>
      </c>
      <c r="H102">
        <v>13</v>
      </c>
      <c r="I102" s="10">
        <v>0.93089999999999995</v>
      </c>
      <c r="J102" s="3">
        <v>5586</v>
      </c>
      <c r="K102" s="7">
        <v>11.412800000000001</v>
      </c>
      <c r="L102" s="5">
        <v>5</v>
      </c>
      <c r="M102" s="8"/>
      <c r="N102" s="5">
        <v>1875</v>
      </c>
      <c r="O102" s="9">
        <v>1.7600000000000001E-2</v>
      </c>
      <c r="P102" t="s">
        <v>541</v>
      </c>
      <c r="Q102">
        <v>5200.0074000000004</v>
      </c>
      <c r="R102">
        <v>1</v>
      </c>
      <c r="S102" s="18" t="s">
        <v>705</v>
      </c>
    </row>
    <row r="103" spans="1:19">
      <c r="A103" t="s">
        <v>528</v>
      </c>
      <c r="B103" t="s">
        <v>529</v>
      </c>
      <c r="C103" s="4">
        <v>45980</v>
      </c>
      <c r="D103">
        <v>17</v>
      </c>
      <c r="E103" s="5">
        <v>0</v>
      </c>
      <c r="F103" s="6">
        <v>1</v>
      </c>
      <c r="G103" s="3">
        <v>355</v>
      </c>
      <c r="H103">
        <v>15</v>
      </c>
      <c r="I103" s="10">
        <v>0.92620000000000002</v>
      </c>
      <c r="J103" s="3">
        <v>22066</v>
      </c>
      <c r="K103" s="7">
        <v>60.417099999999998</v>
      </c>
      <c r="L103" s="5">
        <v>15</v>
      </c>
      <c r="M103" s="8">
        <v>0</v>
      </c>
      <c r="N103" s="5">
        <v>1988</v>
      </c>
      <c r="O103" s="9">
        <v>3.3700000000000001E-2</v>
      </c>
      <c r="P103" t="s">
        <v>541</v>
      </c>
      <c r="Q103">
        <v>20437.529200000001</v>
      </c>
      <c r="R103">
        <v>1</v>
      </c>
      <c r="S103" s="18" t="s">
        <v>706</v>
      </c>
    </row>
    <row r="104" spans="1:19">
      <c r="A104" t="s">
        <v>478</v>
      </c>
      <c r="B104" t="s">
        <v>479</v>
      </c>
      <c r="C104" s="4">
        <v>45981</v>
      </c>
      <c r="D104">
        <v>20</v>
      </c>
      <c r="E104" s="5">
        <v>2</v>
      </c>
      <c r="F104" s="6">
        <v>0</v>
      </c>
      <c r="G104" s="3">
        <v>225</v>
      </c>
      <c r="H104">
        <v>18</v>
      </c>
      <c r="I104" s="10">
        <v>0.92030000000000001</v>
      </c>
      <c r="J104" s="3">
        <v>19680</v>
      </c>
      <c r="K104" s="7">
        <v>49.147599999999997</v>
      </c>
      <c r="L104" s="5">
        <v>7</v>
      </c>
      <c r="M104" s="8">
        <v>0</v>
      </c>
      <c r="N104" s="5">
        <v>2479</v>
      </c>
      <c r="O104" s="9">
        <v>2.7400000000000001E-2</v>
      </c>
      <c r="P104" t="s">
        <v>541</v>
      </c>
      <c r="Q104">
        <v>18111.504000000001</v>
      </c>
      <c r="R104">
        <v>1</v>
      </c>
      <c r="S104" s="18" t="s">
        <v>708</v>
      </c>
    </row>
    <row r="105" spans="1:19">
      <c r="A105" t="s">
        <v>464</v>
      </c>
      <c r="B105" t="s">
        <v>465</v>
      </c>
      <c r="C105" s="4">
        <v>45982</v>
      </c>
      <c r="D105">
        <v>21</v>
      </c>
      <c r="E105" s="5">
        <v>3</v>
      </c>
      <c r="F105" s="6">
        <v>1</v>
      </c>
      <c r="G105" s="3">
        <v>171</v>
      </c>
      <c r="H105">
        <v>17</v>
      </c>
      <c r="I105" s="10">
        <v>0.81020000000000003</v>
      </c>
      <c r="J105" s="3">
        <v>22036</v>
      </c>
      <c r="K105" s="7">
        <v>58.791400000000003</v>
      </c>
      <c r="L105" s="5">
        <v>4</v>
      </c>
      <c r="M105" s="8">
        <v>0</v>
      </c>
      <c r="N105" s="5">
        <v>2405</v>
      </c>
      <c r="O105" s="9">
        <v>8.6999999999999994E-3</v>
      </c>
      <c r="P105" t="s">
        <v>537</v>
      </c>
      <c r="Q105">
        <v>17853.567199999998</v>
      </c>
      <c r="R105">
        <v>1</v>
      </c>
      <c r="S105" s="18" t="s">
        <v>709</v>
      </c>
    </row>
    <row r="106" spans="1:19">
      <c r="A106" t="s">
        <v>313</v>
      </c>
      <c r="B106" t="s">
        <v>314</v>
      </c>
      <c r="C106" s="4">
        <v>45983</v>
      </c>
      <c r="D106">
        <v>24</v>
      </c>
      <c r="E106" s="5">
        <v>20</v>
      </c>
      <c r="F106" s="6">
        <v>3</v>
      </c>
      <c r="G106" s="3">
        <v>326</v>
      </c>
      <c r="H106">
        <v>20</v>
      </c>
      <c r="I106" s="10">
        <v>0.86009999999999998</v>
      </c>
      <c r="J106" s="3">
        <v>29905</v>
      </c>
      <c r="K106" s="7">
        <v>99.516599999999997</v>
      </c>
      <c r="L106" s="5">
        <v>11</v>
      </c>
      <c r="M106" s="8">
        <v>0</v>
      </c>
      <c r="N106" s="5">
        <v>3145</v>
      </c>
      <c r="O106" s="9">
        <v>1.43E-2</v>
      </c>
      <c r="P106" t="s">
        <v>537</v>
      </c>
      <c r="Q106">
        <v>25721.290500000003</v>
      </c>
      <c r="R106">
        <v>1</v>
      </c>
      <c r="S106" s="18" t="s">
        <v>630</v>
      </c>
    </row>
    <row r="107" spans="1:19">
      <c r="A107" t="s">
        <v>367</v>
      </c>
      <c r="B107" t="s">
        <v>342</v>
      </c>
      <c r="C107" s="4">
        <v>45984</v>
      </c>
      <c r="D107">
        <v>16</v>
      </c>
      <c r="E107" s="5">
        <v>10</v>
      </c>
      <c r="F107" s="6">
        <v>0</v>
      </c>
      <c r="G107" s="3">
        <v>275</v>
      </c>
      <c r="H107">
        <v>18</v>
      </c>
      <c r="I107" s="10">
        <v>1.1346000000000001</v>
      </c>
      <c r="J107" s="3">
        <v>39167</v>
      </c>
      <c r="K107" s="7">
        <v>90.521299999999997</v>
      </c>
      <c r="L107" s="5">
        <v>17</v>
      </c>
      <c r="M107" s="8">
        <v>0</v>
      </c>
      <c r="N107" s="5">
        <v>3254</v>
      </c>
      <c r="O107" s="9">
        <v>1.0800000000000001E-2</v>
      </c>
      <c r="P107" t="s">
        <v>537</v>
      </c>
      <c r="Q107">
        <v>44438.878199999992</v>
      </c>
      <c r="R107">
        <v>1</v>
      </c>
      <c r="S107" s="18" t="s">
        <v>664</v>
      </c>
    </row>
    <row r="108" spans="1:19">
      <c r="A108" t="s">
        <v>325</v>
      </c>
      <c r="B108" t="s">
        <v>326</v>
      </c>
      <c r="C108" s="4">
        <v>45985</v>
      </c>
      <c r="D108">
        <v>24</v>
      </c>
      <c r="E108" s="5">
        <v>16</v>
      </c>
      <c r="F108" s="6">
        <v>1</v>
      </c>
      <c r="G108" s="3">
        <v>762</v>
      </c>
      <c r="H108">
        <v>20</v>
      </c>
      <c r="I108" s="10">
        <v>0.86380000000000001</v>
      </c>
      <c r="J108" s="3">
        <v>31086</v>
      </c>
      <c r="K108" s="7">
        <v>101.5304</v>
      </c>
      <c r="L108" s="5">
        <v>17</v>
      </c>
      <c r="M108" s="8">
        <v>0</v>
      </c>
      <c r="N108" s="5">
        <v>6865</v>
      </c>
      <c r="O108" s="9">
        <v>5.8799999999999998E-2</v>
      </c>
      <c r="P108" t="s">
        <v>537</v>
      </c>
      <c r="Q108">
        <v>26852.086799999997</v>
      </c>
      <c r="R108">
        <v>1</v>
      </c>
      <c r="S108" s="18" t="s">
        <v>639</v>
      </c>
    </row>
    <row r="109" spans="1:19">
      <c r="A109" t="s">
        <v>235</v>
      </c>
      <c r="B109" t="s">
        <v>236</v>
      </c>
      <c r="C109" s="4">
        <v>45986</v>
      </c>
      <c r="D109">
        <v>24</v>
      </c>
      <c r="E109" s="5">
        <v>1932</v>
      </c>
      <c r="F109" s="6">
        <v>132</v>
      </c>
      <c r="G109" s="3">
        <v>92414</v>
      </c>
      <c r="H109">
        <v>20</v>
      </c>
      <c r="I109" s="10">
        <v>0.87490000000000001</v>
      </c>
      <c r="J109" s="3">
        <v>4525030</v>
      </c>
      <c r="K109" s="7">
        <v>14888.921899999999</v>
      </c>
      <c r="L109" s="5">
        <v>1941</v>
      </c>
      <c r="M109" s="8">
        <v>0.153</v>
      </c>
      <c r="N109" s="5">
        <v>56593</v>
      </c>
      <c r="O109" s="9">
        <v>2.75E-2</v>
      </c>
      <c r="P109" t="s">
        <v>537</v>
      </c>
      <c r="Q109">
        <v>3958948.7469999995</v>
      </c>
      <c r="R109">
        <v>1</v>
      </c>
      <c r="S109" s="18" t="s">
        <v>564</v>
      </c>
    </row>
    <row r="110" spans="1:19">
      <c r="A110" t="s">
        <v>292</v>
      </c>
      <c r="B110" t="s">
        <v>260</v>
      </c>
      <c r="C110" s="4">
        <v>45987</v>
      </c>
      <c r="D110">
        <v>22</v>
      </c>
      <c r="E110" s="5">
        <v>26</v>
      </c>
      <c r="F110" s="6">
        <v>8</v>
      </c>
      <c r="G110" s="3">
        <v>834</v>
      </c>
      <c r="H110">
        <v>17</v>
      </c>
      <c r="I110" s="10">
        <v>0.81379999999999997</v>
      </c>
      <c r="J110" s="3">
        <v>25864</v>
      </c>
      <c r="K110" s="7">
        <v>70.066800000000001</v>
      </c>
      <c r="L110" s="5">
        <v>48</v>
      </c>
      <c r="M110" s="8">
        <v>0</v>
      </c>
      <c r="N110" s="5">
        <v>9242</v>
      </c>
      <c r="O110" s="9">
        <v>4.2500000000000003E-2</v>
      </c>
      <c r="P110" t="s">
        <v>537</v>
      </c>
      <c r="Q110">
        <v>21048.123199999998</v>
      </c>
      <c r="R110">
        <v>1</v>
      </c>
      <c r="S110" s="18" t="s">
        <v>615</v>
      </c>
    </row>
    <row r="111" spans="1:19">
      <c r="A111" t="s">
        <v>269</v>
      </c>
      <c r="B111" t="s">
        <v>270</v>
      </c>
      <c r="C111" s="4">
        <v>45988</v>
      </c>
      <c r="D111">
        <v>30</v>
      </c>
      <c r="E111" s="5">
        <v>40</v>
      </c>
      <c r="F111" s="6">
        <v>8</v>
      </c>
      <c r="G111" s="3">
        <v>1004</v>
      </c>
      <c r="H111">
        <v>20</v>
      </c>
      <c r="I111" s="10">
        <v>0.69410000000000005</v>
      </c>
      <c r="J111" s="3">
        <v>21221</v>
      </c>
      <c r="K111" s="7">
        <v>67.581500000000005</v>
      </c>
      <c r="L111" s="5">
        <v>53</v>
      </c>
      <c r="M111" s="8">
        <v>0</v>
      </c>
      <c r="N111" s="5">
        <v>5030</v>
      </c>
      <c r="O111" s="9">
        <v>5.1499999999999997E-2</v>
      </c>
      <c r="P111" t="s">
        <v>537</v>
      </c>
      <c r="Q111">
        <v>14729.496099999998</v>
      </c>
      <c r="R111">
        <v>1</v>
      </c>
      <c r="S111" s="18" t="s">
        <v>595</v>
      </c>
    </row>
    <row r="112" spans="1:19">
      <c r="A112" t="s">
        <v>345</v>
      </c>
      <c r="B112" t="s">
        <v>346</v>
      </c>
      <c r="C112" s="4">
        <v>45989</v>
      </c>
      <c r="D112">
        <v>23</v>
      </c>
      <c r="E112" s="5">
        <v>13</v>
      </c>
      <c r="F112" s="6">
        <v>0</v>
      </c>
      <c r="G112" s="3">
        <v>849</v>
      </c>
      <c r="H112">
        <v>19</v>
      </c>
      <c r="I112" s="10">
        <v>0.8548</v>
      </c>
      <c r="J112" s="3">
        <v>55535</v>
      </c>
      <c r="K112" s="7">
        <v>158.54390000000001</v>
      </c>
      <c r="L112" s="5">
        <v>43</v>
      </c>
      <c r="M112" s="8">
        <v>0</v>
      </c>
      <c r="N112" s="5">
        <v>4003</v>
      </c>
      <c r="O112" s="9">
        <v>0.12590000000000001</v>
      </c>
      <c r="P112" t="s">
        <v>537</v>
      </c>
      <c r="Q112">
        <v>47471.317999999999</v>
      </c>
      <c r="R112">
        <v>1</v>
      </c>
      <c r="S112" s="18" t="s">
        <v>653</v>
      </c>
    </row>
    <row r="113" spans="1:19">
      <c r="A113" t="s">
        <v>243</v>
      </c>
      <c r="B113" t="s">
        <v>244</v>
      </c>
      <c r="C113" s="4">
        <v>45990</v>
      </c>
      <c r="D113">
        <v>24</v>
      </c>
      <c r="E113" s="5">
        <v>136</v>
      </c>
      <c r="F113" s="6">
        <v>7</v>
      </c>
      <c r="G113" s="3">
        <v>4614</v>
      </c>
      <c r="H113">
        <v>19</v>
      </c>
      <c r="I113" s="10">
        <v>0.82799999999999996</v>
      </c>
      <c r="J113" s="3">
        <v>29793</v>
      </c>
      <c r="K113" s="7">
        <v>96.983099999999993</v>
      </c>
      <c r="L113" s="5">
        <v>52</v>
      </c>
      <c r="M113" s="8">
        <v>1E-3</v>
      </c>
      <c r="N113" s="5">
        <v>4540</v>
      </c>
      <c r="O113" s="9">
        <v>6.7000000000000004E-2</v>
      </c>
      <c r="P113" t="s">
        <v>537</v>
      </c>
      <c r="Q113">
        <v>24668.603999999999</v>
      </c>
      <c r="R113">
        <v>1</v>
      </c>
      <c r="S113" s="18" t="s">
        <v>572</v>
      </c>
    </row>
    <row r="114" spans="1:19">
      <c r="A114" t="s">
        <v>251</v>
      </c>
      <c r="B114" t="s">
        <v>252</v>
      </c>
      <c r="C114" s="4">
        <v>45991</v>
      </c>
      <c r="D114">
        <v>26</v>
      </c>
      <c r="E114" s="5">
        <v>98</v>
      </c>
      <c r="F114" s="6">
        <v>8</v>
      </c>
      <c r="G114" s="3">
        <v>1792</v>
      </c>
      <c r="H114">
        <v>22</v>
      </c>
      <c r="I114" s="10">
        <v>0.88280000000000003</v>
      </c>
      <c r="J114" s="3">
        <v>39788</v>
      </c>
      <c r="K114" s="7">
        <v>150.18610000000001</v>
      </c>
      <c r="L114" s="5">
        <v>64</v>
      </c>
      <c r="M114" s="8">
        <v>0</v>
      </c>
      <c r="N114" s="5">
        <v>4568</v>
      </c>
      <c r="O114" s="9">
        <v>0.14910000000000001</v>
      </c>
      <c r="P114" t="s">
        <v>537</v>
      </c>
      <c r="Q114">
        <v>35124.846400000002</v>
      </c>
      <c r="R114">
        <v>1</v>
      </c>
      <c r="S114" s="18" t="s">
        <v>580</v>
      </c>
    </row>
    <row r="115" spans="1:19">
      <c r="A115" t="s">
        <v>263</v>
      </c>
      <c r="B115" t="s">
        <v>264</v>
      </c>
      <c r="C115" s="4">
        <v>45993</v>
      </c>
      <c r="D115">
        <v>24</v>
      </c>
      <c r="E115" s="5">
        <v>48</v>
      </c>
      <c r="F115" s="6">
        <v>7</v>
      </c>
      <c r="G115" s="3">
        <v>1119</v>
      </c>
      <c r="H115">
        <v>21</v>
      </c>
      <c r="I115" s="10">
        <v>0.87649999999999995</v>
      </c>
      <c r="J115" s="3">
        <v>37718</v>
      </c>
      <c r="K115" s="7">
        <v>124.6678</v>
      </c>
      <c r="L115" s="5">
        <v>23</v>
      </c>
      <c r="M115" s="8">
        <v>0</v>
      </c>
      <c r="N115" s="5">
        <v>3556</v>
      </c>
      <c r="O115" s="9">
        <v>5.6000000000000001E-2</v>
      </c>
      <c r="P115" t="s">
        <v>537</v>
      </c>
      <c r="Q115">
        <v>33059.827000000005</v>
      </c>
      <c r="R115">
        <v>1</v>
      </c>
      <c r="S115" s="18" t="s">
        <v>591</v>
      </c>
    </row>
    <row r="116" spans="1:19">
      <c r="A116" t="s">
        <v>402</v>
      </c>
      <c r="B116" t="s">
        <v>403</v>
      </c>
      <c r="C116" s="4">
        <v>45994</v>
      </c>
      <c r="D116">
        <v>22</v>
      </c>
      <c r="E116" s="5">
        <v>7</v>
      </c>
      <c r="F116" s="6">
        <v>1</v>
      </c>
      <c r="G116" s="3">
        <v>240</v>
      </c>
      <c r="H116">
        <v>16</v>
      </c>
      <c r="I116" s="10">
        <v>0.77</v>
      </c>
      <c r="J116" s="3">
        <v>16283</v>
      </c>
      <c r="K116" s="7">
        <v>38.1935</v>
      </c>
      <c r="L116" s="5">
        <v>10</v>
      </c>
      <c r="M116" s="8">
        <v>0</v>
      </c>
      <c r="N116" s="5">
        <v>1434</v>
      </c>
      <c r="O116" s="9">
        <v>7.5300000000000006E-2</v>
      </c>
      <c r="P116" t="s">
        <v>537</v>
      </c>
      <c r="Q116">
        <v>12537.91</v>
      </c>
      <c r="R116">
        <v>1</v>
      </c>
      <c r="S116" s="18" t="s">
        <v>691</v>
      </c>
    </row>
    <row r="117" spans="1:19">
      <c r="A117" t="s">
        <v>370</v>
      </c>
      <c r="B117" t="s">
        <v>371</v>
      </c>
      <c r="C117" s="4">
        <v>45995</v>
      </c>
      <c r="D117">
        <v>32</v>
      </c>
      <c r="E117" s="5">
        <v>10</v>
      </c>
      <c r="F117" s="6">
        <v>2</v>
      </c>
      <c r="G117" s="3">
        <v>184</v>
      </c>
      <c r="H117">
        <v>24</v>
      </c>
      <c r="I117" s="10">
        <v>0.75619999999999998</v>
      </c>
      <c r="J117" s="3">
        <v>12263</v>
      </c>
      <c r="K117" s="7">
        <v>43.4773</v>
      </c>
      <c r="L117" s="5">
        <v>10</v>
      </c>
      <c r="M117" s="8">
        <v>0</v>
      </c>
      <c r="N117" s="5">
        <v>1276</v>
      </c>
      <c r="O117" s="9">
        <v>5.7200000000000001E-2</v>
      </c>
      <c r="P117" t="s">
        <v>537</v>
      </c>
      <c r="Q117">
        <v>9273.2806000000019</v>
      </c>
      <c r="R117">
        <v>1</v>
      </c>
      <c r="S117" s="18" t="s">
        <v>668</v>
      </c>
    </row>
    <row r="118" spans="1:19">
      <c r="A118" t="s">
        <v>321</v>
      </c>
      <c r="B118" t="s">
        <v>322</v>
      </c>
      <c r="C118" s="4">
        <v>45996</v>
      </c>
      <c r="D118">
        <v>21</v>
      </c>
      <c r="E118" s="5">
        <v>18</v>
      </c>
      <c r="F118" s="6">
        <v>3</v>
      </c>
      <c r="G118" s="3">
        <v>617</v>
      </c>
      <c r="H118">
        <v>21</v>
      </c>
      <c r="I118" s="10">
        <v>1.0012000000000001</v>
      </c>
      <c r="J118" s="3">
        <v>29871</v>
      </c>
      <c r="K118" s="7">
        <v>93.766800000000003</v>
      </c>
      <c r="L118" s="5">
        <v>23</v>
      </c>
      <c r="M118" s="8">
        <v>0</v>
      </c>
      <c r="N118" s="5">
        <v>1202</v>
      </c>
      <c r="O118" s="9">
        <v>4.6600000000000003E-2</v>
      </c>
      <c r="P118" t="s">
        <v>537</v>
      </c>
      <c r="Q118">
        <v>29906.845200000003</v>
      </c>
      <c r="R118">
        <v>1</v>
      </c>
      <c r="S118" s="18" t="s">
        <v>636</v>
      </c>
    </row>
    <row r="119" spans="1:19">
      <c r="A119" t="s">
        <v>448</v>
      </c>
      <c r="B119" t="s">
        <v>449</v>
      </c>
      <c r="C119" s="4">
        <v>45997</v>
      </c>
      <c r="D119">
        <v>24</v>
      </c>
      <c r="E119" s="5">
        <v>4</v>
      </c>
      <c r="F119" s="6">
        <v>1</v>
      </c>
      <c r="G119" s="3">
        <v>325</v>
      </c>
      <c r="H119">
        <v>19</v>
      </c>
      <c r="I119" s="10">
        <v>0.80940000000000001</v>
      </c>
      <c r="J119" s="3">
        <v>14312</v>
      </c>
      <c r="K119" s="7">
        <v>45.450499999999998</v>
      </c>
      <c r="L119" s="5">
        <v>5</v>
      </c>
      <c r="M119" s="8">
        <v>0</v>
      </c>
      <c r="N119" s="5">
        <v>1055</v>
      </c>
      <c r="O119" s="9">
        <v>5.3999999999999999E-2</v>
      </c>
      <c r="P119" t="s">
        <v>537</v>
      </c>
      <c r="Q119">
        <v>11584.132799999999</v>
      </c>
      <c r="R119">
        <v>1</v>
      </c>
      <c r="S119" s="18" t="s">
        <v>710</v>
      </c>
    </row>
    <row r="120" spans="1:19">
      <c r="A120" t="s">
        <v>368</v>
      </c>
      <c r="B120" t="s">
        <v>369</v>
      </c>
      <c r="C120" s="4">
        <v>45998</v>
      </c>
      <c r="D120">
        <v>21</v>
      </c>
      <c r="E120" s="5">
        <v>10</v>
      </c>
      <c r="F120" s="6">
        <v>0</v>
      </c>
      <c r="G120" s="3">
        <v>596</v>
      </c>
      <c r="H120">
        <v>19</v>
      </c>
      <c r="I120" s="10">
        <v>0.94340000000000002</v>
      </c>
      <c r="J120" s="3">
        <v>29709</v>
      </c>
      <c r="K120" s="7">
        <v>89.008300000000006</v>
      </c>
      <c r="L120" s="5">
        <v>9</v>
      </c>
      <c r="M120" s="8">
        <v>0</v>
      </c>
      <c r="N120" s="5">
        <v>962</v>
      </c>
      <c r="O120" s="9">
        <v>4.0500000000000001E-2</v>
      </c>
      <c r="P120" t="s">
        <v>537</v>
      </c>
      <c r="Q120">
        <v>28027.470600000001</v>
      </c>
      <c r="R120">
        <v>1</v>
      </c>
      <c r="S120" s="18" t="s">
        <v>666</v>
      </c>
    </row>
    <row r="121" spans="1:19">
      <c r="A121" t="s">
        <v>374</v>
      </c>
      <c r="B121" t="s">
        <v>270</v>
      </c>
      <c r="C121" s="4">
        <v>45999</v>
      </c>
      <c r="D121">
        <v>26</v>
      </c>
      <c r="E121" s="5">
        <v>9</v>
      </c>
      <c r="F121" s="6">
        <v>4</v>
      </c>
      <c r="G121" s="3">
        <v>713</v>
      </c>
      <c r="H121">
        <v>20</v>
      </c>
      <c r="I121" s="10">
        <v>0.80420000000000003</v>
      </c>
      <c r="J121" s="3">
        <v>20820</v>
      </c>
      <c r="K121" s="7">
        <v>66.983199999999997</v>
      </c>
      <c r="L121" s="5">
        <v>32</v>
      </c>
      <c r="M121" s="8">
        <v>0</v>
      </c>
      <c r="N121" s="5">
        <v>1424</v>
      </c>
      <c r="O121" s="9">
        <v>5.3400000000000003E-2</v>
      </c>
      <c r="P121" t="s">
        <v>537</v>
      </c>
      <c r="Q121">
        <v>16743.444</v>
      </c>
      <c r="R121">
        <v>1</v>
      </c>
      <c r="S121" s="18" t="s">
        <v>670</v>
      </c>
    </row>
    <row r="122" spans="1:19">
      <c r="A122" t="s">
        <v>241</v>
      </c>
      <c r="B122" t="s">
        <v>242</v>
      </c>
      <c r="C122" s="4">
        <v>46000</v>
      </c>
      <c r="D122">
        <v>19</v>
      </c>
      <c r="E122" s="5">
        <v>145</v>
      </c>
      <c r="F122" s="6">
        <v>5</v>
      </c>
      <c r="G122" s="3">
        <v>4230</v>
      </c>
      <c r="H122">
        <v>17</v>
      </c>
      <c r="I122" s="10">
        <v>0.9244</v>
      </c>
      <c r="J122" s="3">
        <v>201821</v>
      </c>
      <c r="K122" s="7">
        <v>502.99400000000003</v>
      </c>
      <c r="L122" s="5">
        <v>82</v>
      </c>
      <c r="M122" s="8">
        <v>0</v>
      </c>
      <c r="N122" s="5">
        <v>4400</v>
      </c>
      <c r="O122" s="9">
        <v>3.6999999999999998E-2</v>
      </c>
      <c r="P122" t="s">
        <v>537</v>
      </c>
      <c r="Q122">
        <v>186563.33240000001</v>
      </c>
      <c r="R122">
        <v>1</v>
      </c>
      <c r="S122" s="18" t="s">
        <v>570</v>
      </c>
    </row>
    <row r="123" spans="1:19">
      <c r="A123" t="s">
        <v>416</v>
      </c>
      <c r="B123" t="s">
        <v>417</v>
      </c>
      <c r="C123" s="4">
        <v>46001</v>
      </c>
      <c r="D123">
        <v>22</v>
      </c>
      <c r="E123" s="5">
        <v>6</v>
      </c>
      <c r="F123" s="6">
        <v>3</v>
      </c>
      <c r="G123" s="3">
        <v>790</v>
      </c>
      <c r="H123">
        <v>17</v>
      </c>
      <c r="I123" s="10">
        <v>0.81130000000000002</v>
      </c>
      <c r="J123" s="3">
        <v>27485</v>
      </c>
      <c r="K123" s="7">
        <v>79.915700000000001</v>
      </c>
      <c r="L123" s="5">
        <v>29</v>
      </c>
      <c r="M123" s="8">
        <v>0</v>
      </c>
      <c r="N123" s="5">
        <v>1272</v>
      </c>
      <c r="O123" s="9">
        <v>4.9500000000000002E-2</v>
      </c>
      <c r="P123" t="s">
        <v>537</v>
      </c>
      <c r="Q123">
        <v>22298.580499999996</v>
      </c>
      <c r="R123">
        <v>1</v>
      </c>
      <c r="S123" s="18" t="s">
        <v>699</v>
      </c>
    </row>
    <row r="124" spans="1:19">
      <c r="A124" t="s">
        <v>341</v>
      </c>
      <c r="B124" t="s">
        <v>342</v>
      </c>
      <c r="C124" s="4">
        <v>46002</v>
      </c>
      <c r="D124">
        <v>15</v>
      </c>
      <c r="E124" s="5">
        <v>14</v>
      </c>
      <c r="F124" s="6">
        <v>4</v>
      </c>
      <c r="G124" s="3">
        <v>886</v>
      </c>
      <c r="H124">
        <v>15</v>
      </c>
      <c r="I124" s="10">
        <v>1.0234000000000001</v>
      </c>
      <c r="J124" s="3">
        <v>180758</v>
      </c>
      <c r="K124" s="7">
        <v>401.59440000000001</v>
      </c>
      <c r="L124" s="5">
        <v>56</v>
      </c>
      <c r="M124" s="8">
        <v>0</v>
      </c>
      <c r="N124" s="5">
        <v>1367</v>
      </c>
      <c r="O124" s="9">
        <v>5.1200000000000002E-2</v>
      </c>
      <c r="P124" t="s">
        <v>537</v>
      </c>
      <c r="Q124">
        <v>184987.7372</v>
      </c>
      <c r="R124">
        <v>1</v>
      </c>
      <c r="S124" s="18" t="s">
        <v>649</v>
      </c>
    </row>
    <row r="125" spans="1:19">
      <c r="A125" t="s">
        <v>381</v>
      </c>
      <c r="B125" t="s">
        <v>378</v>
      </c>
      <c r="C125" s="4">
        <v>46003</v>
      </c>
      <c r="D125">
        <v>22</v>
      </c>
      <c r="E125" s="5">
        <v>9</v>
      </c>
      <c r="F125" s="6">
        <v>2</v>
      </c>
      <c r="G125" s="3">
        <v>291</v>
      </c>
      <c r="H125">
        <v>17</v>
      </c>
      <c r="I125" s="10">
        <v>0.81740000000000002</v>
      </c>
      <c r="J125" s="3">
        <v>26195</v>
      </c>
      <c r="K125" s="7">
        <v>68.595200000000006</v>
      </c>
      <c r="L125" s="5">
        <v>15</v>
      </c>
      <c r="M125" s="8">
        <v>1E-3</v>
      </c>
      <c r="N125" s="5">
        <v>1329</v>
      </c>
      <c r="O125" s="9">
        <v>4.7399999999999998E-2</v>
      </c>
      <c r="P125" t="s">
        <v>537</v>
      </c>
      <c r="Q125">
        <v>21411.792999999998</v>
      </c>
      <c r="R125">
        <v>1</v>
      </c>
      <c r="S125" s="18" t="s">
        <v>676</v>
      </c>
    </row>
    <row r="126" spans="1:19">
      <c r="A126" t="s">
        <v>305</v>
      </c>
      <c r="B126" t="s">
        <v>306</v>
      </c>
      <c r="C126" s="4">
        <v>46004</v>
      </c>
      <c r="D126">
        <v>30</v>
      </c>
      <c r="E126" s="5">
        <v>23</v>
      </c>
      <c r="F126" s="6">
        <v>3</v>
      </c>
      <c r="G126" s="3">
        <v>676</v>
      </c>
      <c r="H126">
        <v>26</v>
      </c>
      <c r="I126" s="10">
        <v>0.86699999999999999</v>
      </c>
      <c r="J126" s="3">
        <v>27234</v>
      </c>
      <c r="K126" s="7">
        <v>114.45350000000001</v>
      </c>
      <c r="L126" s="5">
        <v>34</v>
      </c>
      <c r="M126" s="8">
        <v>1E-3</v>
      </c>
      <c r="N126" s="5">
        <v>1111</v>
      </c>
      <c r="O126" s="9">
        <v>3.5099999999999999E-2</v>
      </c>
      <c r="P126" t="s">
        <v>537</v>
      </c>
      <c r="Q126">
        <v>23611.878000000001</v>
      </c>
      <c r="R126">
        <v>1</v>
      </c>
      <c r="S126" s="18" t="s">
        <v>624</v>
      </c>
    </row>
    <row r="127" spans="1:19">
      <c r="A127" t="s">
        <v>287</v>
      </c>
      <c r="B127" t="s">
        <v>288</v>
      </c>
      <c r="C127" s="4">
        <v>46005</v>
      </c>
      <c r="D127">
        <v>28</v>
      </c>
      <c r="E127" s="5">
        <v>27</v>
      </c>
      <c r="F127" s="6">
        <v>2</v>
      </c>
      <c r="G127" s="3">
        <v>656</v>
      </c>
      <c r="H127">
        <v>21</v>
      </c>
      <c r="I127" s="10">
        <v>0.78059999999999996</v>
      </c>
      <c r="J127" s="3">
        <v>23622</v>
      </c>
      <c r="K127" s="7">
        <v>78.349800000000002</v>
      </c>
      <c r="L127" s="5">
        <v>69</v>
      </c>
      <c r="M127" s="8">
        <v>1E-3</v>
      </c>
      <c r="N127" s="5">
        <v>2009</v>
      </c>
      <c r="O127" s="9">
        <v>1.6899999999999998E-2</v>
      </c>
      <c r="P127" t="s">
        <v>537</v>
      </c>
      <c r="Q127">
        <v>18439.333200000001</v>
      </c>
      <c r="R127">
        <v>1</v>
      </c>
      <c r="S127" s="18" t="s">
        <v>610</v>
      </c>
    </row>
    <row r="128" spans="1:19">
      <c r="A128" t="s">
        <v>315</v>
      </c>
      <c r="B128" t="s">
        <v>316</v>
      </c>
      <c r="C128" s="4">
        <v>46006</v>
      </c>
      <c r="D128">
        <v>22</v>
      </c>
      <c r="E128" s="5">
        <v>19</v>
      </c>
      <c r="F128" s="6">
        <v>3</v>
      </c>
      <c r="G128" s="3">
        <v>604</v>
      </c>
      <c r="H128">
        <v>20</v>
      </c>
      <c r="I128" s="10">
        <v>0.92820000000000003</v>
      </c>
      <c r="J128" s="3">
        <v>35576</v>
      </c>
      <c r="K128" s="7">
        <v>98.175799999999995</v>
      </c>
      <c r="L128" s="5">
        <v>23</v>
      </c>
      <c r="M128" s="8">
        <v>1E-3</v>
      </c>
      <c r="N128" s="5">
        <v>1334</v>
      </c>
      <c r="O128" s="9">
        <v>2.6200000000000001E-2</v>
      </c>
      <c r="P128" t="s">
        <v>537</v>
      </c>
      <c r="Q128">
        <v>33021.643199999999</v>
      </c>
      <c r="R128">
        <v>1</v>
      </c>
      <c r="S128" s="18" t="s">
        <v>632</v>
      </c>
    </row>
    <row r="129" spans="1:19">
      <c r="A129" t="s">
        <v>496</v>
      </c>
      <c r="B129" t="s">
        <v>497</v>
      </c>
      <c r="C129" s="4">
        <v>46007</v>
      </c>
      <c r="D129">
        <v>23</v>
      </c>
      <c r="E129" s="5">
        <v>1</v>
      </c>
      <c r="F129" s="6">
        <v>0</v>
      </c>
      <c r="G129" s="3">
        <v>14</v>
      </c>
      <c r="H129">
        <v>19</v>
      </c>
      <c r="I129" s="10">
        <v>0.84299999999999997</v>
      </c>
      <c r="J129" s="3">
        <v>960</v>
      </c>
      <c r="K129" s="7">
        <v>2.2193999999999998</v>
      </c>
      <c r="L129" s="5">
        <v>0</v>
      </c>
      <c r="M129" s="8">
        <v>0</v>
      </c>
      <c r="N129" s="5">
        <v>598</v>
      </c>
      <c r="O129" s="9">
        <v>0.01</v>
      </c>
      <c r="P129" t="s">
        <v>537</v>
      </c>
      <c r="Q129">
        <v>809.28</v>
      </c>
      <c r="R129">
        <v>1</v>
      </c>
      <c r="S129" s="18" t="s">
        <v>713</v>
      </c>
    </row>
    <row r="130" spans="1:19">
      <c r="A130" t="s">
        <v>432</v>
      </c>
      <c r="B130" t="s">
        <v>433</v>
      </c>
      <c r="C130" s="4">
        <v>46008</v>
      </c>
      <c r="D130">
        <v>23</v>
      </c>
      <c r="E130" s="5">
        <v>5</v>
      </c>
      <c r="F130" s="6">
        <v>0</v>
      </c>
      <c r="G130" s="3">
        <v>266</v>
      </c>
      <c r="H130">
        <v>21</v>
      </c>
      <c r="I130" s="10">
        <v>0.93959999999999999</v>
      </c>
      <c r="J130" s="3">
        <v>26249</v>
      </c>
      <c r="K130" s="7">
        <v>95.081500000000005</v>
      </c>
      <c r="L130" s="5">
        <v>17</v>
      </c>
      <c r="M130" s="8">
        <v>1E-3</v>
      </c>
      <c r="N130" s="5">
        <v>822</v>
      </c>
      <c r="O130" s="9">
        <v>2.5499999999999998E-2</v>
      </c>
      <c r="P130" t="s">
        <v>537</v>
      </c>
      <c r="Q130">
        <v>24663.560399999998</v>
      </c>
      <c r="R130">
        <v>1</v>
      </c>
      <c r="S130" s="18" t="s">
        <v>707</v>
      </c>
    </row>
    <row r="131" spans="1:19">
      <c r="A131" t="s">
        <v>353</v>
      </c>
      <c r="B131" t="s">
        <v>354</v>
      </c>
      <c r="C131" s="4">
        <v>46009</v>
      </c>
      <c r="D131">
        <v>24</v>
      </c>
      <c r="E131" s="5">
        <v>12</v>
      </c>
      <c r="F131" s="6">
        <v>3</v>
      </c>
      <c r="G131" s="3">
        <v>724</v>
      </c>
      <c r="H131">
        <v>24</v>
      </c>
      <c r="I131" s="10">
        <v>1.0068999999999999</v>
      </c>
      <c r="J131" s="3">
        <v>29174</v>
      </c>
      <c r="K131" s="7">
        <v>106.0538</v>
      </c>
      <c r="L131" s="5">
        <v>35</v>
      </c>
      <c r="M131" s="8">
        <v>1E-3</v>
      </c>
      <c r="N131" s="5">
        <v>927</v>
      </c>
      <c r="O131" s="9">
        <v>3.3399999999999999E-2</v>
      </c>
      <c r="P131" t="s">
        <v>537</v>
      </c>
      <c r="Q131">
        <v>29375.300599999999</v>
      </c>
      <c r="R131">
        <v>1</v>
      </c>
      <c r="S131" s="18" t="s">
        <v>658</v>
      </c>
    </row>
    <row r="132" spans="1:19">
      <c r="A132" t="s">
        <v>379</v>
      </c>
      <c r="B132" t="s">
        <v>380</v>
      </c>
      <c r="C132" s="4">
        <v>46010</v>
      </c>
      <c r="D132">
        <v>24</v>
      </c>
      <c r="E132" s="5">
        <v>9</v>
      </c>
      <c r="F132" s="6">
        <v>2</v>
      </c>
      <c r="G132" s="3">
        <v>503</v>
      </c>
      <c r="H132">
        <v>22</v>
      </c>
      <c r="I132" s="10">
        <v>0.91749999999999998</v>
      </c>
      <c r="J132" s="3">
        <v>34639</v>
      </c>
      <c r="K132" s="7">
        <v>116.19029999999999</v>
      </c>
      <c r="L132" s="5">
        <v>12</v>
      </c>
      <c r="M132" s="8">
        <v>1E-3</v>
      </c>
      <c r="N132" s="5">
        <v>1137</v>
      </c>
      <c r="O132" s="9">
        <v>4.2200000000000001E-2</v>
      </c>
      <c r="P132" t="s">
        <v>537</v>
      </c>
      <c r="Q132">
        <v>31781.282500000001</v>
      </c>
      <c r="R132">
        <v>1</v>
      </c>
      <c r="S132" s="18" t="s">
        <v>675</v>
      </c>
    </row>
    <row r="133" spans="1:19">
      <c r="A133" t="s">
        <v>293</v>
      </c>
      <c r="B133" t="s">
        <v>294</v>
      </c>
      <c r="C133" s="4">
        <v>46011</v>
      </c>
      <c r="D133">
        <v>27</v>
      </c>
      <c r="E133" s="5">
        <v>25</v>
      </c>
      <c r="F133" s="6">
        <v>4</v>
      </c>
      <c r="G133" s="3">
        <v>542</v>
      </c>
      <c r="H133">
        <v>20</v>
      </c>
      <c r="I133" s="10">
        <v>0.7621</v>
      </c>
      <c r="J133" s="3">
        <v>19863</v>
      </c>
      <c r="K133" s="7">
        <v>59.972099999999998</v>
      </c>
      <c r="L133" s="5">
        <v>42</v>
      </c>
      <c r="M133" s="8">
        <v>1E-3</v>
      </c>
      <c r="N133" s="5">
        <v>1776</v>
      </c>
      <c r="O133" s="9">
        <v>3.7199999999999997E-2</v>
      </c>
      <c r="P133" t="s">
        <v>537</v>
      </c>
      <c r="Q133">
        <v>15137.592299999998</v>
      </c>
      <c r="R133">
        <v>1</v>
      </c>
      <c r="S133" s="18" t="s">
        <v>616</v>
      </c>
    </row>
    <row r="134" spans="1:19">
      <c r="A134" t="s">
        <v>319</v>
      </c>
      <c r="B134" t="s">
        <v>320</v>
      </c>
      <c r="C134" s="4">
        <v>46012</v>
      </c>
      <c r="D134">
        <v>27</v>
      </c>
      <c r="E134" s="5">
        <v>19</v>
      </c>
      <c r="F134" s="6">
        <v>2</v>
      </c>
      <c r="G134" s="3">
        <v>694</v>
      </c>
      <c r="H134">
        <v>20</v>
      </c>
      <c r="I134" s="10">
        <v>0.76880000000000004</v>
      </c>
      <c r="J134" s="3">
        <v>24037</v>
      </c>
      <c r="K134" s="7">
        <v>89.099900000000005</v>
      </c>
      <c r="L134" s="5">
        <v>9</v>
      </c>
      <c r="M134" s="8">
        <v>1E-3</v>
      </c>
      <c r="N134" s="5">
        <v>955</v>
      </c>
      <c r="O134" s="9">
        <v>3.8699999999999998E-2</v>
      </c>
      <c r="P134" t="s">
        <v>537</v>
      </c>
      <c r="Q134">
        <v>18479.6456</v>
      </c>
      <c r="R134">
        <v>1</v>
      </c>
      <c r="S134" s="18" t="s">
        <v>634</v>
      </c>
    </row>
    <row r="135" spans="1:19">
      <c r="A135" t="s">
        <v>377</v>
      </c>
      <c r="B135" t="s">
        <v>378</v>
      </c>
      <c r="C135" s="4">
        <v>46013</v>
      </c>
      <c r="D135">
        <v>20</v>
      </c>
      <c r="E135" s="5">
        <v>9</v>
      </c>
      <c r="F135" s="6">
        <v>0</v>
      </c>
      <c r="G135" s="3">
        <v>471</v>
      </c>
      <c r="H135">
        <v>18</v>
      </c>
      <c r="I135" s="10">
        <v>0.93640000000000001</v>
      </c>
      <c r="J135" s="3">
        <v>24815</v>
      </c>
      <c r="K135" s="7">
        <v>62.9206</v>
      </c>
      <c r="L135" s="5">
        <v>42</v>
      </c>
      <c r="M135" s="8">
        <v>1E-3</v>
      </c>
      <c r="N135" s="5">
        <v>1359</v>
      </c>
      <c r="O135" s="9">
        <v>4.19E-2</v>
      </c>
      <c r="P135" t="s">
        <v>537</v>
      </c>
      <c r="Q135">
        <v>23236.766</v>
      </c>
      <c r="R135">
        <v>1</v>
      </c>
      <c r="S135" s="18" t="s">
        <v>673</v>
      </c>
    </row>
    <row r="136" spans="1:19">
      <c r="A136" t="s">
        <v>398</v>
      </c>
      <c r="B136" t="s">
        <v>399</v>
      </c>
      <c r="C136" s="4">
        <v>46015</v>
      </c>
      <c r="D136">
        <v>22</v>
      </c>
      <c r="E136" s="5">
        <v>7</v>
      </c>
      <c r="F136" s="6">
        <v>2</v>
      </c>
      <c r="G136" s="3">
        <v>450</v>
      </c>
      <c r="H136">
        <v>20</v>
      </c>
      <c r="I136" s="10">
        <v>0.94469999999999998</v>
      </c>
      <c r="J136" s="3">
        <v>32342</v>
      </c>
      <c r="K136" s="7">
        <v>102.3522</v>
      </c>
      <c r="L136" s="5">
        <v>19</v>
      </c>
      <c r="M136" s="8">
        <v>1E-3</v>
      </c>
      <c r="N136" s="5">
        <v>797</v>
      </c>
      <c r="O136" s="9">
        <v>1.8800000000000001E-2</v>
      </c>
      <c r="P136" t="s">
        <v>537</v>
      </c>
      <c r="Q136">
        <v>30553.487399999998</v>
      </c>
      <c r="R136">
        <v>1</v>
      </c>
      <c r="S136" s="18" t="s">
        <v>687</v>
      </c>
    </row>
    <row r="137" spans="1:19">
      <c r="A137" t="s">
        <v>323</v>
      </c>
      <c r="B137" t="s">
        <v>324</v>
      </c>
      <c r="C137" s="4">
        <v>46016</v>
      </c>
      <c r="D137">
        <v>24</v>
      </c>
      <c r="E137" s="5">
        <v>17</v>
      </c>
      <c r="F137" s="6">
        <v>2</v>
      </c>
      <c r="G137" s="3">
        <v>795</v>
      </c>
      <c r="H137">
        <v>17</v>
      </c>
      <c r="I137" s="10">
        <v>0.74419999999999997</v>
      </c>
      <c r="J137" s="3">
        <v>24238</v>
      </c>
      <c r="K137" s="7">
        <v>72.377899999999997</v>
      </c>
      <c r="L137" s="5">
        <v>28</v>
      </c>
      <c r="M137" s="8">
        <v>1E-3</v>
      </c>
      <c r="N137" s="5">
        <v>1002</v>
      </c>
      <c r="O137" s="9">
        <v>3.6900000000000002E-2</v>
      </c>
      <c r="P137" t="s">
        <v>537</v>
      </c>
      <c r="Q137">
        <v>18037.919600000001</v>
      </c>
      <c r="R137">
        <v>1</v>
      </c>
      <c r="S137" s="18" t="s">
        <v>637</v>
      </c>
    </row>
    <row r="138" spans="1:19">
      <c r="A138" t="s">
        <v>412</v>
      </c>
      <c r="B138" t="s">
        <v>413</v>
      </c>
      <c r="C138" s="4">
        <v>46017</v>
      </c>
      <c r="D138">
        <v>26</v>
      </c>
      <c r="E138" s="5">
        <v>6</v>
      </c>
      <c r="F138" s="6">
        <v>2</v>
      </c>
      <c r="G138" s="3">
        <v>711</v>
      </c>
      <c r="H138">
        <v>22</v>
      </c>
      <c r="I138" s="10">
        <v>0.85419999999999996</v>
      </c>
      <c r="J138" s="3">
        <v>27232</v>
      </c>
      <c r="K138" s="7">
        <v>94.341899999999995</v>
      </c>
      <c r="L138" s="5">
        <v>36</v>
      </c>
      <c r="M138" s="8">
        <v>1E-3</v>
      </c>
      <c r="N138" s="5">
        <v>784</v>
      </c>
      <c r="O138" s="9">
        <v>2.4199999999999999E-2</v>
      </c>
      <c r="P138" t="s">
        <v>537</v>
      </c>
      <c r="Q138">
        <v>23261.574400000001</v>
      </c>
      <c r="R138">
        <v>1</v>
      </c>
      <c r="S138" s="18" t="s">
        <v>696</v>
      </c>
    </row>
    <row r="139" spans="1:19">
      <c r="A139" t="s">
        <v>329</v>
      </c>
      <c r="B139" t="s">
        <v>330</v>
      </c>
      <c r="C139" s="4">
        <v>46018</v>
      </c>
      <c r="D139">
        <v>20</v>
      </c>
      <c r="E139" s="5">
        <v>15</v>
      </c>
      <c r="F139" s="6">
        <v>3</v>
      </c>
      <c r="G139" s="3">
        <v>538</v>
      </c>
      <c r="H139">
        <v>18</v>
      </c>
      <c r="I139" s="10">
        <v>0.91900000000000004</v>
      </c>
      <c r="J139" s="3">
        <v>28992</v>
      </c>
      <c r="K139" s="7">
        <v>82.167000000000002</v>
      </c>
      <c r="L139" s="5">
        <v>27</v>
      </c>
      <c r="M139" s="8">
        <v>3.0000000000000001E-3</v>
      </c>
      <c r="N139" s="5">
        <v>826</v>
      </c>
      <c r="O139" s="9">
        <v>2.18E-2</v>
      </c>
      <c r="P139" t="s">
        <v>537</v>
      </c>
      <c r="Q139">
        <v>26643.648000000001</v>
      </c>
      <c r="R139">
        <v>1</v>
      </c>
      <c r="S139" s="18" t="s">
        <v>642</v>
      </c>
    </row>
    <row r="140" spans="1:19">
      <c r="A140" t="s">
        <v>357</v>
      </c>
      <c r="B140" t="s">
        <v>358</v>
      </c>
      <c r="C140" s="4">
        <v>46019</v>
      </c>
      <c r="D140">
        <v>39</v>
      </c>
      <c r="E140" s="5">
        <v>11</v>
      </c>
      <c r="F140" s="6">
        <v>2</v>
      </c>
      <c r="G140" s="3">
        <v>92</v>
      </c>
      <c r="H140">
        <v>27</v>
      </c>
      <c r="I140" s="10">
        <v>0.69740000000000002</v>
      </c>
      <c r="J140" s="3">
        <v>5151</v>
      </c>
      <c r="K140" s="7">
        <v>22.791499999999999</v>
      </c>
      <c r="L140" s="5">
        <v>5</v>
      </c>
      <c r="M140" s="8">
        <v>2E-3</v>
      </c>
      <c r="N140" s="5">
        <v>3069</v>
      </c>
      <c r="O140" s="9">
        <v>7.2700000000000001E-2</v>
      </c>
      <c r="P140" t="s">
        <v>537</v>
      </c>
      <c r="Q140">
        <v>3592.3073999999997</v>
      </c>
      <c r="R140">
        <v>1</v>
      </c>
      <c r="S140" s="18" t="s">
        <v>659</v>
      </c>
    </row>
    <row r="141" spans="1:19">
      <c r="A141" t="s">
        <v>259</v>
      </c>
      <c r="B141" t="s">
        <v>260</v>
      </c>
      <c r="C141" s="4">
        <v>46020</v>
      </c>
      <c r="D141">
        <v>21</v>
      </c>
      <c r="E141" s="5">
        <v>61</v>
      </c>
      <c r="F141" s="6">
        <v>13</v>
      </c>
      <c r="G141" s="3">
        <v>1141</v>
      </c>
      <c r="H141">
        <v>19</v>
      </c>
      <c r="I141" s="10">
        <v>0.91830000000000001</v>
      </c>
      <c r="J141" s="3">
        <v>78369</v>
      </c>
      <c r="K141" s="7">
        <v>221.87719999999999</v>
      </c>
      <c r="L141" s="5">
        <v>159</v>
      </c>
      <c r="M141" s="8">
        <v>3.0000000000000001E-3</v>
      </c>
      <c r="N141" s="5">
        <v>3833</v>
      </c>
      <c r="O141" s="9">
        <v>3.6299999999999999E-2</v>
      </c>
      <c r="P141" t="s">
        <v>537</v>
      </c>
      <c r="Q141">
        <v>71966.252699999997</v>
      </c>
      <c r="R141">
        <v>1</v>
      </c>
      <c r="S141" s="18" t="s">
        <v>588</v>
      </c>
    </row>
    <row r="142" spans="1:19">
      <c r="A142" t="s">
        <v>476</v>
      </c>
      <c r="B142" t="s">
        <v>477</v>
      </c>
      <c r="C142" s="4">
        <v>46021</v>
      </c>
      <c r="D142">
        <v>20</v>
      </c>
      <c r="E142" s="5">
        <v>2</v>
      </c>
      <c r="F142" s="6">
        <v>0</v>
      </c>
      <c r="G142" s="3">
        <v>32</v>
      </c>
      <c r="H142">
        <v>15</v>
      </c>
      <c r="I142" s="10">
        <v>0.76080000000000003</v>
      </c>
      <c r="J142" s="3">
        <v>1904</v>
      </c>
      <c r="K142" s="7">
        <v>3.9567000000000001</v>
      </c>
      <c r="L142" s="5">
        <v>1</v>
      </c>
      <c r="M142" s="8">
        <v>2E-3</v>
      </c>
      <c r="N142" s="5">
        <v>647</v>
      </c>
      <c r="O142" s="9">
        <v>3.09E-2</v>
      </c>
      <c r="P142" t="s">
        <v>537</v>
      </c>
      <c r="Q142">
        <v>1448.5632000000001</v>
      </c>
      <c r="R142">
        <v>1</v>
      </c>
      <c r="S142" s="18" t="s">
        <v>712</v>
      </c>
    </row>
    <row r="143" spans="1:19">
      <c r="A143" t="s">
        <v>267</v>
      </c>
      <c r="B143" t="s">
        <v>268</v>
      </c>
      <c r="C143" s="4">
        <v>46022</v>
      </c>
      <c r="D143">
        <v>27</v>
      </c>
      <c r="E143" s="5">
        <v>41</v>
      </c>
      <c r="F143" s="6">
        <v>6</v>
      </c>
      <c r="G143" s="3">
        <v>816</v>
      </c>
      <c r="H143">
        <v>24</v>
      </c>
      <c r="I143" s="10">
        <v>0.89680000000000004</v>
      </c>
      <c r="J143" s="3">
        <v>31558</v>
      </c>
      <c r="K143" s="7">
        <v>114.97069999999999</v>
      </c>
      <c r="L143" s="5">
        <v>15</v>
      </c>
      <c r="M143" s="8">
        <v>5.0000000000000001E-3</v>
      </c>
      <c r="N143" s="5">
        <v>1483</v>
      </c>
      <c r="O143" s="9">
        <v>2.4299999999999999E-2</v>
      </c>
      <c r="P143" t="s">
        <v>537</v>
      </c>
      <c r="Q143">
        <v>28301.214400000001</v>
      </c>
      <c r="R143">
        <v>1</v>
      </c>
      <c r="S143" s="18" t="s">
        <v>594</v>
      </c>
    </row>
    <row r="144" spans="1:19">
      <c r="A144" t="s">
        <v>404</v>
      </c>
      <c r="B144" t="s">
        <v>405</v>
      </c>
      <c r="C144" s="4">
        <v>46023</v>
      </c>
      <c r="D144">
        <v>21</v>
      </c>
      <c r="E144" s="5">
        <v>7</v>
      </c>
      <c r="F144" s="6">
        <v>1</v>
      </c>
      <c r="G144" s="3">
        <v>311</v>
      </c>
      <c r="H144">
        <v>17</v>
      </c>
      <c r="I144" s="10">
        <v>0.85040000000000004</v>
      </c>
      <c r="J144" s="3">
        <v>26887</v>
      </c>
      <c r="K144" s="7">
        <v>77.949700000000007</v>
      </c>
      <c r="L144" s="5">
        <v>8</v>
      </c>
      <c r="M144" s="8">
        <v>3.0000000000000001E-3</v>
      </c>
      <c r="N144" s="5">
        <v>1197</v>
      </c>
      <c r="O144" s="9">
        <v>2.4199999999999999E-2</v>
      </c>
      <c r="P144" t="s">
        <v>537</v>
      </c>
      <c r="Q144">
        <v>22864.7048</v>
      </c>
      <c r="R144">
        <v>1</v>
      </c>
      <c r="S144" s="18" t="s">
        <v>693</v>
      </c>
    </row>
    <row r="145" spans="1:19">
      <c r="A145" t="s">
        <v>335</v>
      </c>
      <c r="B145" t="s">
        <v>336</v>
      </c>
      <c r="C145" s="4">
        <v>46024</v>
      </c>
      <c r="D145">
        <v>28</v>
      </c>
      <c r="E145" s="5">
        <v>15</v>
      </c>
      <c r="F145" s="6">
        <v>4</v>
      </c>
      <c r="G145" s="3">
        <v>781</v>
      </c>
      <c r="H145">
        <v>26</v>
      </c>
      <c r="I145" s="10">
        <v>0.9365</v>
      </c>
      <c r="J145" s="3">
        <v>30840</v>
      </c>
      <c r="K145" s="7">
        <v>125.1293</v>
      </c>
      <c r="L145" s="5">
        <v>68</v>
      </c>
      <c r="M145" s="8">
        <v>4.0000000000000001E-3</v>
      </c>
      <c r="N145" s="5">
        <v>795</v>
      </c>
      <c r="O145" s="9">
        <v>1.6400000000000001E-2</v>
      </c>
      <c r="P145" t="s">
        <v>537</v>
      </c>
      <c r="Q145">
        <v>28881.660000000003</v>
      </c>
      <c r="R145">
        <v>1</v>
      </c>
      <c r="S145" s="18" t="s">
        <v>647</v>
      </c>
    </row>
    <row r="146" spans="1:19">
      <c r="A146" t="s">
        <v>394</v>
      </c>
      <c r="B146" t="s">
        <v>395</v>
      </c>
      <c r="C146" s="4">
        <v>46025</v>
      </c>
      <c r="D146">
        <v>22</v>
      </c>
      <c r="E146" s="5">
        <v>7</v>
      </c>
      <c r="F146" s="6">
        <v>4</v>
      </c>
      <c r="G146" s="3">
        <v>142</v>
      </c>
      <c r="H146">
        <v>16</v>
      </c>
      <c r="I146" s="10">
        <v>0.74829999999999997</v>
      </c>
      <c r="J146" s="3">
        <v>11461</v>
      </c>
      <c r="K146" s="7">
        <v>33.783900000000003</v>
      </c>
      <c r="L146" s="5">
        <v>11</v>
      </c>
      <c r="M146" s="8">
        <v>3.0000000000000001E-3</v>
      </c>
      <c r="N146" s="5">
        <v>1002</v>
      </c>
      <c r="O146" s="9">
        <v>6.0900000000000003E-2</v>
      </c>
      <c r="P146" t="s">
        <v>537</v>
      </c>
      <c r="Q146">
        <v>8576.2662999999993</v>
      </c>
      <c r="R146">
        <v>1</v>
      </c>
      <c r="S146" s="18" t="s">
        <v>684</v>
      </c>
    </row>
    <row r="147" spans="1:19">
      <c r="A147" t="s">
        <v>291</v>
      </c>
      <c r="B147" t="s">
        <v>242</v>
      </c>
      <c r="C147" s="4">
        <v>46026</v>
      </c>
      <c r="D147">
        <v>21</v>
      </c>
      <c r="E147" s="5">
        <v>26</v>
      </c>
      <c r="F147" s="6">
        <v>5</v>
      </c>
      <c r="G147" s="3">
        <v>679</v>
      </c>
      <c r="H147">
        <v>20</v>
      </c>
      <c r="I147" s="10">
        <v>0.98780000000000001</v>
      </c>
      <c r="J147" s="3">
        <v>60505</v>
      </c>
      <c r="K147" s="7">
        <v>178.0865</v>
      </c>
      <c r="L147" s="5">
        <v>74</v>
      </c>
      <c r="M147" s="8">
        <v>5.0000000000000001E-3</v>
      </c>
      <c r="N147" s="5">
        <v>2927</v>
      </c>
      <c r="O147" s="9">
        <v>5.5E-2</v>
      </c>
      <c r="P147" t="s">
        <v>537</v>
      </c>
      <c r="Q147">
        <v>59766.839</v>
      </c>
      <c r="R147">
        <v>1</v>
      </c>
      <c r="S147" s="18" t="s">
        <v>613</v>
      </c>
    </row>
    <row r="148" spans="1:19">
      <c r="A148" t="s">
        <v>333</v>
      </c>
      <c r="B148" t="s">
        <v>334</v>
      </c>
      <c r="C148" s="4">
        <v>46028</v>
      </c>
      <c r="D148">
        <v>24</v>
      </c>
      <c r="E148" s="5">
        <v>15</v>
      </c>
      <c r="F148" s="6">
        <v>4</v>
      </c>
      <c r="G148" s="3">
        <v>754</v>
      </c>
      <c r="H148">
        <v>21</v>
      </c>
      <c r="I148" s="10">
        <v>0.89600000000000002</v>
      </c>
      <c r="J148" s="3">
        <v>32139</v>
      </c>
      <c r="K148" s="7">
        <v>97.102500000000006</v>
      </c>
      <c r="L148" s="5">
        <v>34</v>
      </c>
      <c r="M148" s="8">
        <v>3.0000000000000001E-3</v>
      </c>
      <c r="N148" s="5">
        <v>1764</v>
      </c>
      <c r="O148" s="9">
        <v>5.5E-2</v>
      </c>
      <c r="P148" t="s">
        <v>537</v>
      </c>
      <c r="Q148">
        <v>28796.543999999998</v>
      </c>
      <c r="R148">
        <v>1</v>
      </c>
      <c r="S148" s="18" t="s">
        <v>645</v>
      </c>
    </row>
    <row r="149" spans="1:19">
      <c r="A149" t="s">
        <v>422</v>
      </c>
      <c r="B149" t="s">
        <v>423</v>
      </c>
      <c r="C149" s="4">
        <v>46029</v>
      </c>
      <c r="D149">
        <v>22</v>
      </c>
      <c r="E149" s="5">
        <v>5</v>
      </c>
      <c r="F149" s="6">
        <v>0</v>
      </c>
      <c r="G149" s="3">
        <v>153</v>
      </c>
      <c r="H149">
        <v>19</v>
      </c>
      <c r="I149" s="10">
        <v>0.88780000000000003</v>
      </c>
      <c r="J149" s="3">
        <v>17159</v>
      </c>
      <c r="K149" s="7">
        <v>45.710900000000002</v>
      </c>
      <c r="L149" s="5">
        <v>13</v>
      </c>
      <c r="M149" s="8">
        <v>2E-3</v>
      </c>
      <c r="N149" s="5">
        <v>847</v>
      </c>
      <c r="O149" s="9">
        <v>3.1899999999999998E-2</v>
      </c>
      <c r="P149" t="s">
        <v>537</v>
      </c>
      <c r="Q149">
        <v>15233.760200000001</v>
      </c>
      <c r="R149">
        <v>1</v>
      </c>
      <c r="S149" s="18" t="s">
        <v>702</v>
      </c>
    </row>
    <row r="150" spans="1:19">
      <c r="A150" t="s">
        <v>488</v>
      </c>
      <c r="B150" t="s">
        <v>489</v>
      </c>
      <c r="C150" s="4">
        <v>46030</v>
      </c>
      <c r="D150">
        <v>23</v>
      </c>
      <c r="E150" s="5">
        <v>2</v>
      </c>
      <c r="F150" s="6">
        <v>2</v>
      </c>
      <c r="G150" s="3">
        <v>340</v>
      </c>
      <c r="H150">
        <v>21</v>
      </c>
      <c r="I150" s="10">
        <v>0.91720000000000002</v>
      </c>
      <c r="J150" s="3">
        <v>26087</v>
      </c>
      <c r="K150" s="7">
        <v>91.565299999999993</v>
      </c>
      <c r="L150" s="5">
        <v>29</v>
      </c>
      <c r="M150" s="8">
        <v>3.0000000000000001E-3</v>
      </c>
      <c r="N150" s="5">
        <v>876</v>
      </c>
      <c r="O150" s="9">
        <v>0.04</v>
      </c>
      <c r="P150" t="s">
        <v>537</v>
      </c>
      <c r="Q150">
        <v>23926.9964</v>
      </c>
      <c r="R150">
        <v>1</v>
      </c>
      <c r="S150" s="18" t="s">
        <v>714</v>
      </c>
    </row>
    <row r="151" spans="1:19">
      <c r="A151" t="s">
        <v>331</v>
      </c>
      <c r="B151" t="s">
        <v>332</v>
      </c>
      <c r="C151" s="4">
        <v>46031</v>
      </c>
      <c r="D151">
        <v>31</v>
      </c>
      <c r="E151" s="5">
        <v>15</v>
      </c>
      <c r="F151" s="6">
        <v>4</v>
      </c>
      <c r="G151" s="3">
        <v>632</v>
      </c>
      <c r="H151">
        <v>18</v>
      </c>
      <c r="I151" s="10">
        <v>0.59150000000000003</v>
      </c>
      <c r="J151" s="3">
        <v>17180</v>
      </c>
      <c r="K151" s="7">
        <v>36.713000000000001</v>
      </c>
      <c r="L151" s="5">
        <v>38</v>
      </c>
      <c r="M151" s="8">
        <v>3.0000000000000001E-3</v>
      </c>
      <c r="N151" s="5">
        <v>1055</v>
      </c>
      <c r="O151" s="9">
        <v>2.9399999999999999E-2</v>
      </c>
      <c r="P151" t="s">
        <v>537</v>
      </c>
      <c r="Q151">
        <v>10161.970000000001</v>
      </c>
      <c r="R151">
        <v>1</v>
      </c>
      <c r="S151" s="18" t="s">
        <v>643</v>
      </c>
    </row>
    <row r="152" spans="1:19">
      <c r="A152" t="s">
        <v>247</v>
      </c>
      <c r="B152" t="s">
        <v>248</v>
      </c>
      <c r="C152" s="4">
        <v>46032</v>
      </c>
      <c r="D152">
        <v>30</v>
      </c>
      <c r="E152" s="5">
        <v>111</v>
      </c>
      <c r="F152" s="6">
        <v>12</v>
      </c>
      <c r="G152" s="3">
        <v>2081</v>
      </c>
      <c r="H152">
        <v>20</v>
      </c>
      <c r="I152" s="10">
        <v>0.68289999999999995</v>
      </c>
      <c r="J152" s="3">
        <v>89408</v>
      </c>
      <c r="K152" s="7">
        <v>277.6551</v>
      </c>
      <c r="L152" s="5">
        <v>54</v>
      </c>
      <c r="M152" s="8">
        <v>0.33900000000000002</v>
      </c>
      <c r="N152" s="5">
        <v>3720</v>
      </c>
      <c r="O152" s="9">
        <v>4.5199999999999997E-2</v>
      </c>
      <c r="P152" t="s">
        <v>537</v>
      </c>
      <c r="Q152">
        <v>61056.723200000008</v>
      </c>
      <c r="R152">
        <v>1</v>
      </c>
      <c r="S152" s="18" t="s">
        <v>576</v>
      </c>
    </row>
    <row r="153" spans="1:19">
      <c r="A153" t="s">
        <v>462</v>
      </c>
      <c r="B153" t="s">
        <v>463</v>
      </c>
      <c r="C153" s="4">
        <v>46033</v>
      </c>
      <c r="D153">
        <v>16</v>
      </c>
      <c r="E153" s="5">
        <v>3</v>
      </c>
      <c r="F153" s="6">
        <v>1</v>
      </c>
      <c r="G153" s="3">
        <v>164</v>
      </c>
      <c r="H153">
        <v>16</v>
      </c>
      <c r="I153" s="10">
        <v>1.0346</v>
      </c>
      <c r="J153" s="3">
        <v>15039</v>
      </c>
      <c r="K153" s="7">
        <v>33.697200000000002</v>
      </c>
      <c r="L153" s="5">
        <v>7</v>
      </c>
      <c r="M153" s="8">
        <v>8.0000000000000002E-3</v>
      </c>
      <c r="N153" s="5">
        <v>575</v>
      </c>
      <c r="O153" s="9">
        <v>0.04</v>
      </c>
      <c r="P153" t="s">
        <v>537</v>
      </c>
      <c r="Q153">
        <v>15559.349399999999</v>
      </c>
      <c r="R153">
        <v>1</v>
      </c>
      <c r="S153" s="18" t="s">
        <v>711</v>
      </c>
    </row>
    <row r="154" spans="1:19">
      <c r="A154" t="s">
        <v>492</v>
      </c>
      <c r="B154" t="s">
        <v>493</v>
      </c>
      <c r="C154" s="4">
        <v>46034</v>
      </c>
      <c r="D154">
        <v>20</v>
      </c>
      <c r="E154" s="5">
        <v>1</v>
      </c>
      <c r="F154" s="6">
        <v>3</v>
      </c>
      <c r="G154" s="3">
        <v>333</v>
      </c>
      <c r="H154">
        <v>16</v>
      </c>
      <c r="I154" s="10">
        <v>0.80120000000000002</v>
      </c>
      <c r="J154" s="3">
        <v>7090</v>
      </c>
      <c r="K154" s="7">
        <v>16.336400000000001</v>
      </c>
      <c r="L154" s="5">
        <v>39</v>
      </c>
      <c r="M154" s="8">
        <v>0.17399999999999999</v>
      </c>
      <c r="N154" s="5">
        <v>822</v>
      </c>
      <c r="O154" s="9">
        <v>2.07E-2</v>
      </c>
      <c r="P154" t="s">
        <v>537</v>
      </c>
      <c r="Q154">
        <v>5680.5079999999998</v>
      </c>
      <c r="R154">
        <v>1</v>
      </c>
      <c r="S154" s="18" t="s">
        <v>715</v>
      </c>
    </row>
    <row r="155" spans="1:19">
      <c r="A155" t="s">
        <v>303</v>
      </c>
      <c r="B155" t="s">
        <v>304</v>
      </c>
      <c r="C155" s="4">
        <v>46035</v>
      </c>
      <c r="D155">
        <v>24</v>
      </c>
      <c r="E155" s="5">
        <v>24</v>
      </c>
      <c r="F155" s="6">
        <v>1</v>
      </c>
      <c r="G155" s="3">
        <v>755</v>
      </c>
      <c r="H155">
        <v>22</v>
      </c>
      <c r="I155" s="10">
        <v>0.93320000000000003</v>
      </c>
      <c r="J155" s="3">
        <v>28690</v>
      </c>
      <c r="K155" s="7">
        <v>97.888999999999996</v>
      </c>
      <c r="L155" s="5">
        <v>37</v>
      </c>
      <c r="M155" s="8">
        <v>1.464</v>
      </c>
      <c r="N155" s="5">
        <v>1159</v>
      </c>
      <c r="O155" s="9">
        <v>5.9499999999999997E-2</v>
      </c>
      <c r="P155" t="s">
        <v>537</v>
      </c>
      <c r="Q155">
        <v>26773.507999999998</v>
      </c>
      <c r="R155">
        <v>1</v>
      </c>
      <c r="S155" s="18" t="s">
        <v>622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8C73-32FF-43AF-AA95-06704FB64614}">
  <dimension ref="A1:I434"/>
  <sheetViews>
    <sheetView zoomScale="85" zoomScaleNormal="85" workbookViewId="0">
      <selection activeCell="K10" sqref="K10"/>
    </sheetView>
  </sheetViews>
  <sheetFormatPr defaultRowHeight="15"/>
  <cols>
    <col min="1" max="1" width="10.28515625" bestFit="1" customWidth="1"/>
    <col min="2" max="2" width="11.5703125" bestFit="1" customWidth="1"/>
    <col min="3" max="3" width="22.5703125" bestFit="1" customWidth="1"/>
    <col min="4" max="4" width="13.5703125" bestFit="1" customWidth="1"/>
    <col min="5" max="5" width="11.42578125" bestFit="1" customWidth="1"/>
    <col min="6" max="6" width="15.42578125" bestFit="1" customWidth="1"/>
    <col min="7" max="7" width="22.28515625" bestFit="1" customWidth="1"/>
    <col min="8" max="8" width="18.42578125" bestFit="1" customWidth="1"/>
    <col min="9" max="9" width="20.85546875" bestFit="1" customWidth="1"/>
  </cols>
  <sheetData>
    <row r="1" spans="1:9">
      <c r="A1" t="s">
        <v>222</v>
      </c>
      <c r="B1" t="s">
        <v>227</v>
      </c>
      <c r="C1" t="s">
        <v>228</v>
      </c>
      <c r="D1" t="s">
        <v>229</v>
      </c>
      <c r="E1" t="s">
        <v>231</v>
      </c>
      <c r="F1" t="s">
        <v>1</v>
      </c>
      <c r="G1" t="s">
        <v>2</v>
      </c>
      <c r="H1" t="s">
        <v>20</v>
      </c>
      <c r="I1" t="s">
        <v>232</v>
      </c>
    </row>
    <row r="2" spans="1:9">
      <c r="A2" s="4">
        <v>45861</v>
      </c>
      <c r="B2" s="5">
        <v>2</v>
      </c>
      <c r="C2" s="5">
        <v>5</v>
      </c>
      <c r="D2" s="5">
        <v>16</v>
      </c>
      <c r="E2" s="5">
        <v>5</v>
      </c>
      <c r="F2" s="3">
        <v>501</v>
      </c>
      <c r="G2" s="7">
        <v>2.9601000000000002</v>
      </c>
      <c r="H2">
        <v>36</v>
      </c>
    </row>
    <row r="3" spans="1:9">
      <c r="A3" s="4">
        <v>45862</v>
      </c>
      <c r="B3" s="5">
        <v>0</v>
      </c>
      <c r="C3" s="5">
        <v>1</v>
      </c>
      <c r="D3" s="5">
        <v>3</v>
      </c>
      <c r="E3" s="5">
        <v>0</v>
      </c>
      <c r="F3" s="3">
        <v>10</v>
      </c>
      <c r="G3" s="7">
        <v>4.58E-2</v>
      </c>
      <c r="H3">
        <v>23</v>
      </c>
    </row>
    <row r="4" spans="1:9">
      <c r="A4" s="4">
        <v>45863</v>
      </c>
      <c r="B4" s="5">
        <v>0</v>
      </c>
      <c r="C4" s="5">
        <v>0</v>
      </c>
      <c r="D4" s="5">
        <v>3</v>
      </c>
      <c r="E4" s="5">
        <v>0</v>
      </c>
      <c r="F4" s="3">
        <v>43</v>
      </c>
      <c r="G4" s="7">
        <v>0.25209999999999999</v>
      </c>
      <c r="H4">
        <v>35</v>
      </c>
    </row>
    <row r="5" spans="1:9">
      <c r="A5" s="4">
        <v>45864</v>
      </c>
      <c r="B5" s="5">
        <v>0</v>
      </c>
      <c r="C5" s="5">
        <v>4</v>
      </c>
      <c r="D5" s="5">
        <v>11</v>
      </c>
      <c r="E5" s="5">
        <v>1</v>
      </c>
      <c r="F5" s="3">
        <v>23</v>
      </c>
      <c r="G5" s="7">
        <v>0.1169</v>
      </c>
      <c r="H5">
        <v>35</v>
      </c>
    </row>
    <row r="6" spans="1:9">
      <c r="A6" s="4">
        <v>45865</v>
      </c>
      <c r="B6" s="5">
        <v>0</v>
      </c>
      <c r="C6" s="5">
        <v>2</v>
      </c>
      <c r="D6" s="5">
        <v>4</v>
      </c>
      <c r="E6" s="5">
        <v>0</v>
      </c>
      <c r="F6" s="3">
        <v>10</v>
      </c>
      <c r="G6" s="7">
        <v>4.6399999999999997E-2</v>
      </c>
      <c r="H6">
        <v>33</v>
      </c>
    </row>
    <row r="7" spans="1:9">
      <c r="A7" s="4">
        <v>45866</v>
      </c>
      <c r="B7" s="5">
        <v>0</v>
      </c>
      <c r="C7" s="5">
        <v>1</v>
      </c>
      <c r="D7" s="5">
        <v>2</v>
      </c>
      <c r="E7" s="5">
        <v>0</v>
      </c>
      <c r="F7" s="3">
        <v>6</v>
      </c>
      <c r="G7" s="7">
        <v>1.29E-2</v>
      </c>
      <c r="H7">
        <v>21</v>
      </c>
    </row>
    <row r="8" spans="1:9">
      <c r="A8" s="4">
        <v>45867</v>
      </c>
      <c r="B8" s="5">
        <v>0</v>
      </c>
      <c r="C8" s="5">
        <v>1</v>
      </c>
      <c r="D8" s="5">
        <v>7</v>
      </c>
      <c r="E8" s="5">
        <v>1</v>
      </c>
      <c r="F8" s="3">
        <v>74</v>
      </c>
      <c r="G8" s="7">
        <v>0.1234</v>
      </c>
      <c r="H8">
        <v>16</v>
      </c>
    </row>
    <row r="9" spans="1:9">
      <c r="A9" s="4">
        <v>45868</v>
      </c>
      <c r="B9" s="5">
        <v>0</v>
      </c>
      <c r="C9" s="5">
        <v>3</v>
      </c>
      <c r="D9" s="5">
        <v>4</v>
      </c>
      <c r="E9" s="5">
        <v>0</v>
      </c>
      <c r="F9" s="3">
        <v>18</v>
      </c>
      <c r="G9" s="7">
        <v>4.4600000000000001E-2</v>
      </c>
      <c r="H9">
        <v>30</v>
      </c>
    </row>
    <row r="10" spans="1:9">
      <c r="A10" s="4">
        <v>45869</v>
      </c>
      <c r="B10" s="5">
        <v>0</v>
      </c>
      <c r="C10" s="5">
        <v>0</v>
      </c>
      <c r="D10" s="5">
        <v>1</v>
      </c>
      <c r="E10" s="5">
        <v>0</v>
      </c>
      <c r="F10" s="3">
        <v>7</v>
      </c>
      <c r="G10" s="7">
        <v>1.5299999999999999E-2</v>
      </c>
      <c r="H10">
        <v>18</v>
      </c>
    </row>
    <row r="11" spans="1:9">
      <c r="A11" s="4">
        <v>45870</v>
      </c>
      <c r="B11" s="5">
        <v>0</v>
      </c>
      <c r="C11" s="5">
        <v>1</v>
      </c>
      <c r="D11" s="5">
        <v>1</v>
      </c>
      <c r="E11" s="5">
        <v>0</v>
      </c>
      <c r="F11" s="3">
        <v>5</v>
      </c>
      <c r="G11" s="7">
        <v>3.49E-2</v>
      </c>
      <c r="H11">
        <v>31</v>
      </c>
    </row>
    <row r="12" spans="1:9">
      <c r="A12" s="4">
        <v>45871</v>
      </c>
      <c r="B12" s="5">
        <v>0</v>
      </c>
      <c r="C12" s="5">
        <v>1</v>
      </c>
      <c r="D12" s="5">
        <v>1</v>
      </c>
      <c r="E12" s="5">
        <v>0</v>
      </c>
      <c r="F12" s="3">
        <v>5</v>
      </c>
      <c r="G12" s="7">
        <v>1.2E-2</v>
      </c>
      <c r="H12">
        <v>18</v>
      </c>
    </row>
    <row r="13" spans="1:9">
      <c r="A13" s="4">
        <v>45872</v>
      </c>
      <c r="B13" s="5">
        <v>0</v>
      </c>
      <c r="C13" s="5">
        <v>3</v>
      </c>
      <c r="D13" s="5">
        <v>4</v>
      </c>
      <c r="E13" s="5">
        <v>0</v>
      </c>
      <c r="F13" s="3">
        <v>148</v>
      </c>
      <c r="G13" s="7">
        <v>0.38240000000000002</v>
      </c>
      <c r="H13">
        <v>18</v>
      </c>
    </row>
    <row r="14" spans="1:9">
      <c r="A14" s="4">
        <v>45873</v>
      </c>
      <c r="B14" s="5">
        <v>0</v>
      </c>
      <c r="C14" s="5">
        <v>1</v>
      </c>
      <c r="D14" s="5">
        <v>2</v>
      </c>
      <c r="E14" s="5">
        <v>0</v>
      </c>
      <c r="F14" s="3">
        <v>22</v>
      </c>
      <c r="G14" s="7">
        <v>3.1800000000000002E-2</v>
      </c>
      <c r="H14">
        <v>14</v>
      </c>
    </row>
    <row r="15" spans="1:9">
      <c r="A15" s="4">
        <v>45874</v>
      </c>
      <c r="B15" s="5">
        <v>0</v>
      </c>
      <c r="C15" s="5">
        <v>0</v>
      </c>
      <c r="D15" s="5">
        <v>2</v>
      </c>
      <c r="E15" s="5">
        <v>0</v>
      </c>
      <c r="F15" s="3">
        <v>9</v>
      </c>
      <c r="G15" s="7">
        <v>1.3599999999999999E-2</v>
      </c>
      <c r="H15">
        <v>8</v>
      </c>
    </row>
    <row r="16" spans="1:9">
      <c r="A16" s="4">
        <v>45875</v>
      </c>
      <c r="B16" s="5">
        <v>0</v>
      </c>
      <c r="C16" s="5">
        <v>0</v>
      </c>
      <c r="D16" s="5">
        <v>0</v>
      </c>
      <c r="E16" s="5">
        <v>0</v>
      </c>
      <c r="F16" s="3">
        <v>12</v>
      </c>
      <c r="G16" s="7">
        <v>2.7799999999999998E-2</v>
      </c>
      <c r="H16">
        <v>15</v>
      </c>
    </row>
    <row r="17" spans="1:8">
      <c r="A17" s="4">
        <v>45876</v>
      </c>
      <c r="B17" s="5">
        <v>0</v>
      </c>
      <c r="C17" s="5">
        <v>0</v>
      </c>
      <c r="D17" s="5">
        <v>0</v>
      </c>
      <c r="E17" s="5">
        <v>0</v>
      </c>
      <c r="F17" s="3">
        <v>1</v>
      </c>
      <c r="G17" s="7">
        <v>2.0000000000000001E-4</v>
      </c>
    </row>
    <row r="18" spans="1:8">
      <c r="A18" s="4">
        <v>45877</v>
      </c>
      <c r="B18" s="5">
        <v>0</v>
      </c>
      <c r="C18" s="5">
        <v>0</v>
      </c>
      <c r="D18" s="5">
        <v>0</v>
      </c>
      <c r="E18" s="5">
        <v>0</v>
      </c>
      <c r="F18" s="3">
        <v>1</v>
      </c>
      <c r="G18" s="7">
        <v>0</v>
      </c>
      <c r="H18">
        <v>0</v>
      </c>
    </row>
    <row r="19" spans="1:8">
      <c r="A19" s="4">
        <v>45878</v>
      </c>
      <c r="B19" s="5">
        <v>0</v>
      </c>
      <c r="C19" s="5">
        <v>0</v>
      </c>
      <c r="D19" s="5">
        <v>0</v>
      </c>
      <c r="E19" s="5">
        <v>0</v>
      </c>
      <c r="F19" s="3">
        <v>0</v>
      </c>
      <c r="G19" s="7">
        <v>0</v>
      </c>
    </row>
    <row r="20" spans="1:8">
      <c r="A20" s="4">
        <v>45879</v>
      </c>
      <c r="B20" s="5">
        <v>1</v>
      </c>
      <c r="C20" s="5">
        <v>6</v>
      </c>
      <c r="D20" s="5">
        <v>13</v>
      </c>
      <c r="E20" s="5">
        <v>0</v>
      </c>
      <c r="F20" s="3">
        <v>915</v>
      </c>
      <c r="G20" s="7">
        <v>2.5783999999999998</v>
      </c>
      <c r="H20">
        <v>23</v>
      </c>
    </row>
    <row r="21" spans="1:8">
      <c r="A21" s="4">
        <v>45880</v>
      </c>
      <c r="B21" s="5">
        <v>0</v>
      </c>
      <c r="C21" s="5">
        <v>1</v>
      </c>
      <c r="D21" s="5">
        <v>10</v>
      </c>
      <c r="E21" s="5">
        <v>3</v>
      </c>
      <c r="F21" s="3">
        <v>927</v>
      </c>
      <c r="G21" s="7">
        <v>3.1806999999999999</v>
      </c>
      <c r="H21">
        <v>25</v>
      </c>
    </row>
    <row r="22" spans="1:8">
      <c r="A22" s="4">
        <v>45881</v>
      </c>
      <c r="B22" s="5">
        <v>0</v>
      </c>
      <c r="C22" s="5">
        <v>3</v>
      </c>
      <c r="D22" s="5">
        <v>31</v>
      </c>
      <c r="E22" s="5">
        <v>0</v>
      </c>
      <c r="F22" s="3">
        <v>1299</v>
      </c>
      <c r="G22" s="7">
        <v>3.2145999999999999</v>
      </c>
      <c r="H22">
        <v>19</v>
      </c>
    </row>
    <row r="23" spans="1:8">
      <c r="A23" s="4">
        <v>45882</v>
      </c>
      <c r="B23" s="5">
        <v>0</v>
      </c>
      <c r="C23" s="5">
        <v>0</v>
      </c>
      <c r="D23" s="5">
        <v>14</v>
      </c>
      <c r="E23" s="5">
        <v>0</v>
      </c>
      <c r="F23" s="3">
        <v>610</v>
      </c>
      <c r="G23" s="7">
        <v>3.1364999999999998</v>
      </c>
      <c r="H23">
        <v>37</v>
      </c>
    </row>
    <row r="24" spans="1:8">
      <c r="A24" s="4">
        <v>45883</v>
      </c>
      <c r="B24" s="5">
        <v>4</v>
      </c>
      <c r="C24" s="5">
        <v>3</v>
      </c>
      <c r="D24" s="5">
        <v>53</v>
      </c>
      <c r="E24" s="5">
        <v>8</v>
      </c>
      <c r="F24" s="3">
        <v>2895</v>
      </c>
      <c r="G24" s="7">
        <v>6.8719999999999999</v>
      </c>
      <c r="H24">
        <v>20</v>
      </c>
    </row>
    <row r="25" spans="1:8">
      <c r="A25" s="4">
        <v>45884</v>
      </c>
      <c r="B25" s="5">
        <v>12</v>
      </c>
      <c r="C25" s="5">
        <v>5</v>
      </c>
      <c r="D25" s="5">
        <v>542</v>
      </c>
      <c r="E25" s="5">
        <v>119</v>
      </c>
      <c r="F25" s="3">
        <v>26746</v>
      </c>
      <c r="G25" s="7">
        <v>73.660300000000007</v>
      </c>
      <c r="H25">
        <v>21</v>
      </c>
    </row>
    <row r="26" spans="1:8">
      <c r="A26" s="4">
        <v>45885</v>
      </c>
      <c r="B26" s="5">
        <v>13</v>
      </c>
      <c r="C26" s="5">
        <v>3</v>
      </c>
      <c r="D26" s="5">
        <v>433</v>
      </c>
      <c r="E26" s="5">
        <v>77</v>
      </c>
      <c r="F26" s="3">
        <v>18480</v>
      </c>
      <c r="G26" s="7">
        <v>54.8127</v>
      </c>
      <c r="H26">
        <v>19</v>
      </c>
    </row>
    <row r="27" spans="1:8">
      <c r="A27" s="4">
        <v>45886</v>
      </c>
      <c r="B27" s="5">
        <v>16</v>
      </c>
      <c r="C27" s="5">
        <v>4</v>
      </c>
      <c r="D27" s="5">
        <v>543</v>
      </c>
      <c r="E27" s="5">
        <v>69</v>
      </c>
      <c r="F27" s="3">
        <v>26373</v>
      </c>
      <c r="G27" s="7">
        <v>80.423500000000004</v>
      </c>
      <c r="H27">
        <v>19</v>
      </c>
    </row>
    <row r="28" spans="1:8">
      <c r="A28" s="4">
        <v>45887</v>
      </c>
      <c r="B28" s="5">
        <v>40</v>
      </c>
      <c r="C28" s="5">
        <v>9</v>
      </c>
      <c r="D28" s="5">
        <v>1022</v>
      </c>
      <c r="E28" s="5">
        <v>185</v>
      </c>
      <c r="F28" s="3">
        <v>36478</v>
      </c>
      <c r="G28" s="7">
        <v>110.08540000000001</v>
      </c>
      <c r="H28">
        <v>21</v>
      </c>
    </row>
    <row r="29" spans="1:8">
      <c r="A29" s="4">
        <v>45888</v>
      </c>
      <c r="B29" s="5">
        <v>30</v>
      </c>
      <c r="C29" s="5">
        <v>2</v>
      </c>
      <c r="D29" s="5">
        <v>715</v>
      </c>
      <c r="E29" s="5">
        <v>86</v>
      </c>
      <c r="F29" s="3">
        <v>24315</v>
      </c>
      <c r="G29" s="7">
        <v>66.811800000000005</v>
      </c>
      <c r="H29">
        <v>19</v>
      </c>
    </row>
    <row r="30" spans="1:8">
      <c r="A30" s="4">
        <v>45889</v>
      </c>
      <c r="B30" s="5">
        <v>77</v>
      </c>
      <c r="C30" s="5">
        <v>21</v>
      </c>
      <c r="D30" s="5">
        <v>2144</v>
      </c>
      <c r="E30" s="5">
        <v>286</v>
      </c>
      <c r="F30" s="3">
        <v>100091</v>
      </c>
      <c r="G30" s="7">
        <v>307.85599999999999</v>
      </c>
      <c r="H30">
        <v>21</v>
      </c>
    </row>
    <row r="31" spans="1:8">
      <c r="A31" s="4">
        <v>45890</v>
      </c>
      <c r="B31" s="5">
        <v>52</v>
      </c>
      <c r="C31" s="5">
        <v>10</v>
      </c>
      <c r="D31" s="5">
        <v>972</v>
      </c>
      <c r="E31" s="5">
        <v>141</v>
      </c>
      <c r="F31" s="3">
        <v>68075</v>
      </c>
      <c r="G31" s="7">
        <v>200.85730000000001</v>
      </c>
      <c r="H31">
        <v>21</v>
      </c>
    </row>
    <row r="32" spans="1:8">
      <c r="A32" s="4">
        <v>45891</v>
      </c>
      <c r="B32" s="5">
        <v>111</v>
      </c>
      <c r="C32" s="5">
        <v>20</v>
      </c>
      <c r="D32" s="5">
        <v>2180</v>
      </c>
      <c r="E32" s="5">
        <v>328</v>
      </c>
      <c r="F32" s="3">
        <v>152070</v>
      </c>
      <c r="G32" s="7">
        <v>471.03410000000002</v>
      </c>
      <c r="H32">
        <v>22</v>
      </c>
    </row>
    <row r="33" spans="1:8">
      <c r="A33" s="4">
        <v>45892</v>
      </c>
      <c r="B33" s="5">
        <v>212</v>
      </c>
      <c r="C33" s="5">
        <v>23</v>
      </c>
      <c r="D33" s="5">
        <v>3727</v>
      </c>
      <c r="E33" s="5">
        <v>606</v>
      </c>
      <c r="F33" s="3">
        <v>235718</v>
      </c>
      <c r="G33" s="7">
        <v>717.86260000000004</v>
      </c>
      <c r="H33">
        <v>21</v>
      </c>
    </row>
    <row r="34" spans="1:8">
      <c r="A34" s="4">
        <v>45893</v>
      </c>
      <c r="B34" s="5">
        <v>253</v>
      </c>
      <c r="C34" s="5">
        <v>18</v>
      </c>
      <c r="D34" s="5">
        <v>4873</v>
      </c>
      <c r="E34" s="5">
        <v>760</v>
      </c>
      <c r="F34" s="3">
        <v>311339</v>
      </c>
      <c r="G34" s="7">
        <v>921.40509999999995</v>
      </c>
      <c r="H34">
        <v>20</v>
      </c>
    </row>
    <row r="35" spans="1:8">
      <c r="A35" s="4">
        <v>45894</v>
      </c>
      <c r="B35" s="5">
        <v>288</v>
      </c>
      <c r="C35" s="5">
        <v>39</v>
      </c>
      <c r="D35" s="5">
        <v>7797</v>
      </c>
      <c r="E35" s="5">
        <v>1040</v>
      </c>
      <c r="F35" s="3">
        <v>395240</v>
      </c>
      <c r="G35" s="7">
        <v>1220.7950000000001</v>
      </c>
      <c r="H35">
        <v>21</v>
      </c>
    </row>
    <row r="36" spans="1:8">
      <c r="A36" s="4">
        <v>45895</v>
      </c>
      <c r="B36" s="5">
        <v>450</v>
      </c>
      <c r="C36" s="5">
        <v>45</v>
      </c>
      <c r="D36" s="5">
        <v>9618</v>
      </c>
      <c r="E36" s="5">
        <v>1260</v>
      </c>
      <c r="F36" s="3">
        <v>553169</v>
      </c>
      <c r="G36" s="7">
        <v>1628.2710999999999</v>
      </c>
      <c r="H36">
        <v>20</v>
      </c>
    </row>
    <row r="37" spans="1:8">
      <c r="A37" s="4">
        <v>45896</v>
      </c>
      <c r="B37" s="5">
        <v>557</v>
      </c>
      <c r="C37" s="5">
        <v>47</v>
      </c>
      <c r="D37" s="5">
        <v>10452</v>
      </c>
      <c r="E37" s="5">
        <v>1407</v>
      </c>
      <c r="F37" s="3">
        <v>665223</v>
      </c>
      <c r="G37" s="7">
        <v>1883.7965999999999</v>
      </c>
      <c r="H37">
        <v>19</v>
      </c>
    </row>
    <row r="38" spans="1:8">
      <c r="A38" s="4">
        <v>45897</v>
      </c>
      <c r="B38" s="5">
        <v>412</v>
      </c>
      <c r="C38" s="5">
        <v>50</v>
      </c>
      <c r="D38" s="5">
        <v>7499</v>
      </c>
      <c r="E38" s="5">
        <v>1078</v>
      </c>
      <c r="F38" s="3">
        <v>508945</v>
      </c>
      <c r="G38" s="7">
        <v>1423.3835999999999</v>
      </c>
      <c r="H38">
        <v>19</v>
      </c>
    </row>
    <row r="39" spans="1:8">
      <c r="A39" s="4">
        <v>45898</v>
      </c>
      <c r="B39" s="5">
        <v>361</v>
      </c>
      <c r="C39" s="5">
        <v>23</v>
      </c>
      <c r="D39" s="5">
        <v>5415</v>
      </c>
      <c r="E39" s="5">
        <v>755</v>
      </c>
      <c r="F39" s="3">
        <v>369874</v>
      </c>
      <c r="G39" s="7">
        <v>1040.8868</v>
      </c>
      <c r="H39">
        <v>19</v>
      </c>
    </row>
    <row r="40" spans="1:8">
      <c r="A40" s="4">
        <v>45899</v>
      </c>
      <c r="B40" s="5">
        <v>364</v>
      </c>
      <c r="C40" s="5">
        <v>29</v>
      </c>
      <c r="D40" s="5">
        <v>5062</v>
      </c>
      <c r="E40" s="5">
        <v>742</v>
      </c>
      <c r="F40" s="3">
        <v>311482</v>
      </c>
      <c r="G40" s="7">
        <v>864.94460000000004</v>
      </c>
      <c r="H40">
        <v>19</v>
      </c>
    </row>
    <row r="41" spans="1:8">
      <c r="A41" s="4">
        <v>45900</v>
      </c>
      <c r="B41" s="5">
        <v>395</v>
      </c>
      <c r="C41" s="5">
        <v>41</v>
      </c>
      <c r="D41" s="5">
        <v>7091</v>
      </c>
      <c r="E41" s="5">
        <v>881</v>
      </c>
      <c r="F41" s="3">
        <v>356464</v>
      </c>
      <c r="G41" s="7">
        <v>1006.4615</v>
      </c>
      <c r="H41">
        <v>19</v>
      </c>
    </row>
    <row r="42" spans="1:8">
      <c r="A42" s="4">
        <v>45901</v>
      </c>
      <c r="B42" s="5">
        <v>447</v>
      </c>
      <c r="C42" s="5">
        <v>32</v>
      </c>
      <c r="D42" s="5">
        <v>8892</v>
      </c>
      <c r="E42" s="5">
        <v>972</v>
      </c>
      <c r="F42" s="3">
        <v>387909</v>
      </c>
      <c r="G42" s="7">
        <v>1110.8072</v>
      </c>
      <c r="H42">
        <v>19</v>
      </c>
    </row>
    <row r="43" spans="1:8">
      <c r="A43" s="4">
        <v>45902</v>
      </c>
      <c r="B43" s="5">
        <v>253</v>
      </c>
      <c r="C43" s="5">
        <v>33</v>
      </c>
      <c r="D43" s="5">
        <v>5044</v>
      </c>
      <c r="E43" s="5">
        <v>648</v>
      </c>
      <c r="F43" s="3">
        <v>271097</v>
      </c>
      <c r="G43" s="7">
        <v>764.82060000000001</v>
      </c>
      <c r="H43">
        <v>19</v>
      </c>
    </row>
    <row r="44" spans="1:8">
      <c r="A44" s="4">
        <v>45903</v>
      </c>
      <c r="B44" s="5">
        <v>197</v>
      </c>
      <c r="C44" s="5">
        <v>11</v>
      </c>
      <c r="D44" s="5">
        <v>3756</v>
      </c>
      <c r="E44" s="5">
        <v>472</v>
      </c>
      <c r="F44" s="3">
        <v>177713</v>
      </c>
      <c r="G44" s="7">
        <v>508.9966</v>
      </c>
      <c r="H44">
        <v>19</v>
      </c>
    </row>
    <row r="45" spans="1:8">
      <c r="A45" s="4">
        <v>45904</v>
      </c>
      <c r="B45" s="5">
        <v>154</v>
      </c>
      <c r="C45" s="5">
        <v>13</v>
      </c>
      <c r="D45" s="5">
        <v>2940</v>
      </c>
      <c r="E45" s="5">
        <v>387</v>
      </c>
      <c r="F45" s="3">
        <v>155404</v>
      </c>
      <c r="G45" s="7">
        <v>443.74040000000002</v>
      </c>
      <c r="H45">
        <v>19</v>
      </c>
    </row>
    <row r="46" spans="1:8">
      <c r="A46" s="4">
        <v>45905</v>
      </c>
      <c r="B46" s="5">
        <v>160</v>
      </c>
      <c r="C46" s="5">
        <v>22</v>
      </c>
      <c r="D46" s="5">
        <v>3681</v>
      </c>
      <c r="E46" s="5">
        <v>485</v>
      </c>
      <c r="F46" s="3">
        <v>204966</v>
      </c>
      <c r="G46" s="7">
        <v>573.85289999999998</v>
      </c>
      <c r="H46">
        <v>19</v>
      </c>
    </row>
    <row r="47" spans="1:8">
      <c r="A47" s="4">
        <v>45906</v>
      </c>
      <c r="B47" s="5">
        <v>218</v>
      </c>
      <c r="C47" s="5">
        <v>39</v>
      </c>
      <c r="D47" s="5">
        <v>4885</v>
      </c>
      <c r="E47" s="5">
        <v>687</v>
      </c>
      <c r="F47" s="3">
        <v>286884</v>
      </c>
      <c r="G47" s="7">
        <v>812.10820000000001</v>
      </c>
      <c r="H47">
        <v>19</v>
      </c>
    </row>
    <row r="48" spans="1:8">
      <c r="A48" s="4">
        <v>45907</v>
      </c>
      <c r="B48" s="5">
        <v>93</v>
      </c>
      <c r="C48" s="5">
        <v>11</v>
      </c>
      <c r="D48" s="5">
        <v>1873</v>
      </c>
      <c r="E48" s="5">
        <v>275</v>
      </c>
      <c r="F48" s="3">
        <v>110683</v>
      </c>
      <c r="G48" s="7">
        <v>310.49779999999998</v>
      </c>
      <c r="H48">
        <v>19</v>
      </c>
    </row>
    <row r="49" spans="1:8">
      <c r="A49" s="4">
        <v>45908</v>
      </c>
      <c r="B49" s="5">
        <v>57</v>
      </c>
      <c r="C49" s="5">
        <v>6</v>
      </c>
      <c r="D49" s="5">
        <v>1095</v>
      </c>
      <c r="E49" s="5">
        <v>166</v>
      </c>
      <c r="F49" s="3">
        <v>71928</v>
      </c>
      <c r="G49" s="7">
        <v>198.40309999999999</v>
      </c>
      <c r="H49">
        <v>18</v>
      </c>
    </row>
    <row r="50" spans="1:8">
      <c r="A50" s="4">
        <v>45909</v>
      </c>
      <c r="B50" s="5">
        <v>60</v>
      </c>
      <c r="C50" s="5">
        <v>5</v>
      </c>
      <c r="D50" s="5">
        <v>1360</v>
      </c>
      <c r="E50" s="5">
        <v>203</v>
      </c>
      <c r="F50" s="3">
        <v>102499</v>
      </c>
      <c r="G50" s="7">
        <v>282.8845</v>
      </c>
      <c r="H50">
        <v>18</v>
      </c>
    </row>
    <row r="51" spans="1:8">
      <c r="A51" s="4">
        <v>45910</v>
      </c>
      <c r="B51" s="5">
        <v>87</v>
      </c>
      <c r="C51" s="5">
        <v>16</v>
      </c>
      <c r="D51" s="5">
        <v>1955</v>
      </c>
      <c r="E51" s="5">
        <v>272</v>
      </c>
      <c r="F51" s="3">
        <v>114307</v>
      </c>
      <c r="G51" s="7">
        <v>324.72789999999998</v>
      </c>
      <c r="H51">
        <v>19</v>
      </c>
    </row>
    <row r="52" spans="1:8">
      <c r="A52" s="4">
        <v>45911</v>
      </c>
      <c r="B52" s="5">
        <v>68</v>
      </c>
      <c r="C52" s="5">
        <v>21</v>
      </c>
      <c r="D52" s="5">
        <v>2185</v>
      </c>
      <c r="E52" s="5">
        <v>310</v>
      </c>
      <c r="F52" s="3">
        <v>121780</v>
      </c>
      <c r="G52" s="7">
        <v>368.5684</v>
      </c>
      <c r="H52">
        <v>20</v>
      </c>
    </row>
    <row r="53" spans="1:8">
      <c r="A53" s="4">
        <v>45912</v>
      </c>
      <c r="B53" s="5">
        <v>113</v>
      </c>
      <c r="C53" s="5">
        <v>14</v>
      </c>
      <c r="D53" s="5">
        <v>2155</v>
      </c>
      <c r="E53" s="5">
        <v>252</v>
      </c>
      <c r="F53" s="3">
        <v>121481</v>
      </c>
      <c r="G53" s="7">
        <v>366.86450000000002</v>
      </c>
      <c r="H53">
        <v>20</v>
      </c>
    </row>
    <row r="54" spans="1:8">
      <c r="A54" s="4">
        <v>45913</v>
      </c>
      <c r="B54" s="5">
        <v>201</v>
      </c>
      <c r="C54" s="5">
        <v>25</v>
      </c>
      <c r="D54" s="5">
        <v>3646</v>
      </c>
      <c r="E54" s="5">
        <v>502</v>
      </c>
      <c r="F54" s="3">
        <v>255427</v>
      </c>
      <c r="G54" s="7">
        <v>719.81910000000005</v>
      </c>
      <c r="H54">
        <v>19</v>
      </c>
    </row>
    <row r="55" spans="1:8">
      <c r="A55" s="4">
        <v>45914</v>
      </c>
      <c r="B55" s="5">
        <v>192</v>
      </c>
      <c r="C55" s="5">
        <v>33</v>
      </c>
      <c r="D55" s="5">
        <v>3387</v>
      </c>
      <c r="E55" s="5">
        <v>503</v>
      </c>
      <c r="F55" s="3">
        <v>252205</v>
      </c>
      <c r="G55" s="7">
        <v>713.31269999999995</v>
      </c>
      <c r="H55">
        <v>19</v>
      </c>
    </row>
    <row r="56" spans="1:8">
      <c r="A56" s="4">
        <v>45915</v>
      </c>
      <c r="B56" s="5">
        <v>225</v>
      </c>
      <c r="C56" s="5">
        <v>36</v>
      </c>
      <c r="D56" s="5">
        <v>4911</v>
      </c>
      <c r="E56" s="5">
        <v>713</v>
      </c>
      <c r="F56" s="3">
        <v>343881</v>
      </c>
      <c r="G56" s="7">
        <v>999.85630000000003</v>
      </c>
      <c r="H56">
        <v>19</v>
      </c>
    </row>
    <row r="57" spans="1:8">
      <c r="A57" s="4">
        <v>45916</v>
      </c>
      <c r="B57" s="5">
        <v>134</v>
      </c>
      <c r="C57" s="5">
        <v>21</v>
      </c>
      <c r="D57" s="5">
        <v>3040</v>
      </c>
      <c r="E57" s="5">
        <v>451</v>
      </c>
      <c r="F57" s="3">
        <v>231992</v>
      </c>
      <c r="G57" s="7">
        <v>656.76880000000006</v>
      </c>
      <c r="H57">
        <v>19</v>
      </c>
    </row>
    <row r="58" spans="1:8">
      <c r="A58" s="4">
        <v>45917</v>
      </c>
      <c r="B58" s="5">
        <v>116</v>
      </c>
      <c r="C58" s="5">
        <v>34</v>
      </c>
      <c r="D58" s="5">
        <v>3183</v>
      </c>
      <c r="E58" s="5">
        <v>455</v>
      </c>
      <c r="F58" s="3">
        <v>223380</v>
      </c>
      <c r="G58" s="7">
        <v>648.51390000000004</v>
      </c>
      <c r="H58">
        <v>19</v>
      </c>
    </row>
    <row r="59" spans="1:8">
      <c r="A59" s="4">
        <v>45918</v>
      </c>
      <c r="B59" s="5">
        <v>166</v>
      </c>
      <c r="C59" s="5">
        <v>24</v>
      </c>
      <c r="D59" s="5">
        <v>3577</v>
      </c>
      <c r="E59" s="5">
        <v>570</v>
      </c>
      <c r="F59" s="3">
        <v>212987</v>
      </c>
      <c r="G59" s="7">
        <v>645.06949999999995</v>
      </c>
      <c r="H59">
        <v>20</v>
      </c>
    </row>
    <row r="60" spans="1:8">
      <c r="A60" s="4">
        <v>45919</v>
      </c>
      <c r="B60" s="5">
        <v>103</v>
      </c>
      <c r="C60" s="5">
        <v>21</v>
      </c>
      <c r="D60" s="5">
        <v>2452</v>
      </c>
      <c r="E60" s="5">
        <v>360</v>
      </c>
      <c r="F60" s="3">
        <v>227650</v>
      </c>
      <c r="G60" s="7">
        <v>654.83090000000004</v>
      </c>
      <c r="H60">
        <v>19</v>
      </c>
    </row>
    <row r="61" spans="1:8">
      <c r="A61" s="4">
        <v>45920</v>
      </c>
      <c r="B61" s="5">
        <v>117</v>
      </c>
      <c r="C61" s="5">
        <v>15</v>
      </c>
      <c r="D61" s="5">
        <v>2466</v>
      </c>
      <c r="E61" s="5">
        <v>383</v>
      </c>
      <c r="F61" s="3">
        <v>233779</v>
      </c>
      <c r="G61" s="7">
        <v>648.10429999999997</v>
      </c>
      <c r="H61">
        <v>19</v>
      </c>
    </row>
    <row r="62" spans="1:8">
      <c r="A62" s="4">
        <v>45921</v>
      </c>
      <c r="B62" s="5">
        <v>77</v>
      </c>
      <c r="C62" s="5">
        <v>15</v>
      </c>
      <c r="D62" s="5">
        <v>1646</v>
      </c>
      <c r="E62" s="5">
        <v>227</v>
      </c>
      <c r="F62" s="3">
        <v>153893</v>
      </c>
      <c r="G62" s="7">
        <v>439.46159999999998</v>
      </c>
      <c r="H62">
        <v>19</v>
      </c>
    </row>
    <row r="63" spans="1:8">
      <c r="A63" s="4">
        <v>45922</v>
      </c>
      <c r="B63" s="5">
        <v>97</v>
      </c>
      <c r="C63" s="5">
        <v>17</v>
      </c>
      <c r="D63" s="5">
        <v>2306</v>
      </c>
      <c r="E63" s="5">
        <v>231</v>
      </c>
      <c r="F63" s="3">
        <v>162488</v>
      </c>
      <c r="G63" s="7">
        <v>479.1635</v>
      </c>
      <c r="H63">
        <v>20</v>
      </c>
    </row>
    <row r="64" spans="1:8">
      <c r="A64" s="4">
        <v>45923</v>
      </c>
      <c r="B64" s="5">
        <v>93</v>
      </c>
      <c r="C64" s="5">
        <v>16</v>
      </c>
      <c r="D64" s="5">
        <v>2897</v>
      </c>
      <c r="E64" s="5">
        <v>382</v>
      </c>
      <c r="F64" s="3">
        <v>167486</v>
      </c>
      <c r="G64" s="7">
        <v>485.55990000000003</v>
      </c>
      <c r="H64">
        <v>19</v>
      </c>
    </row>
    <row r="65" spans="1:8">
      <c r="A65" s="4">
        <v>45924</v>
      </c>
      <c r="B65" s="5">
        <v>64</v>
      </c>
      <c r="C65" s="5">
        <v>5</v>
      </c>
      <c r="D65" s="5">
        <v>987</v>
      </c>
      <c r="E65" s="5">
        <v>146</v>
      </c>
      <c r="F65" s="3">
        <v>77175</v>
      </c>
      <c r="G65" s="7">
        <v>213.37520000000001</v>
      </c>
      <c r="H65">
        <v>19</v>
      </c>
    </row>
    <row r="66" spans="1:8">
      <c r="A66" s="4">
        <v>45925</v>
      </c>
      <c r="B66" s="5">
        <v>66</v>
      </c>
      <c r="C66" s="5">
        <v>9</v>
      </c>
      <c r="D66" s="5">
        <v>2004</v>
      </c>
      <c r="E66" s="5">
        <v>308</v>
      </c>
      <c r="F66" s="3">
        <v>116621</v>
      </c>
      <c r="G66" s="7">
        <v>328.52499999999998</v>
      </c>
      <c r="H66">
        <v>19</v>
      </c>
    </row>
    <row r="67" spans="1:8">
      <c r="A67" s="4">
        <v>45926</v>
      </c>
      <c r="B67" s="5">
        <v>161</v>
      </c>
      <c r="C67" s="5">
        <v>39</v>
      </c>
      <c r="D67" s="5">
        <v>3236</v>
      </c>
      <c r="E67" s="5">
        <v>473</v>
      </c>
      <c r="F67" s="3">
        <v>261450</v>
      </c>
      <c r="G67" s="7">
        <v>740.94090000000006</v>
      </c>
      <c r="H67">
        <v>19</v>
      </c>
    </row>
    <row r="68" spans="1:8">
      <c r="A68" s="4">
        <v>45927</v>
      </c>
      <c r="B68" s="5">
        <v>295</v>
      </c>
      <c r="C68" s="5">
        <v>44</v>
      </c>
      <c r="D68" s="5">
        <v>4852</v>
      </c>
      <c r="E68" s="5">
        <v>649</v>
      </c>
      <c r="F68" s="3">
        <v>300480</v>
      </c>
      <c r="G68" s="7">
        <v>883.67780000000005</v>
      </c>
      <c r="H68">
        <v>20</v>
      </c>
    </row>
    <row r="69" spans="1:8">
      <c r="A69" s="4">
        <v>45928</v>
      </c>
      <c r="B69" s="5">
        <v>197</v>
      </c>
      <c r="C69" s="5">
        <v>34</v>
      </c>
      <c r="D69" s="5">
        <v>3138</v>
      </c>
      <c r="E69" s="5">
        <v>423</v>
      </c>
      <c r="F69" s="3">
        <v>197505</v>
      </c>
      <c r="G69" s="7">
        <v>572.88670000000002</v>
      </c>
      <c r="H69">
        <v>20</v>
      </c>
    </row>
    <row r="70" spans="1:8">
      <c r="A70" s="4">
        <v>45929</v>
      </c>
      <c r="B70" s="5">
        <v>48</v>
      </c>
      <c r="C70" s="5">
        <v>13</v>
      </c>
      <c r="D70" s="5">
        <v>884</v>
      </c>
      <c r="E70" s="5">
        <v>113</v>
      </c>
      <c r="F70" s="3">
        <v>61653</v>
      </c>
      <c r="G70" s="7">
        <v>172.29519999999999</v>
      </c>
      <c r="H70">
        <v>19</v>
      </c>
    </row>
    <row r="71" spans="1:8">
      <c r="A71" s="4">
        <v>45930</v>
      </c>
      <c r="B71" s="5">
        <v>90</v>
      </c>
      <c r="C71" s="5">
        <v>17</v>
      </c>
      <c r="D71" s="5">
        <v>2053</v>
      </c>
      <c r="E71" s="5">
        <v>285</v>
      </c>
      <c r="F71" s="3">
        <v>126903</v>
      </c>
      <c r="G71" s="7">
        <v>359.92200000000003</v>
      </c>
      <c r="H71">
        <v>19</v>
      </c>
    </row>
    <row r="72" spans="1:8">
      <c r="A72" s="4">
        <v>45931</v>
      </c>
      <c r="B72" s="5">
        <v>104</v>
      </c>
      <c r="C72" s="5">
        <v>16</v>
      </c>
      <c r="D72" s="5">
        <v>2510</v>
      </c>
      <c r="E72" s="5">
        <v>386</v>
      </c>
      <c r="F72" s="3">
        <v>192935</v>
      </c>
      <c r="G72" s="7">
        <v>546.60789999999997</v>
      </c>
      <c r="H72">
        <v>20</v>
      </c>
    </row>
    <row r="73" spans="1:8">
      <c r="A73" s="4">
        <v>45932</v>
      </c>
      <c r="B73" s="5">
        <v>66</v>
      </c>
      <c r="C73" s="5">
        <v>14</v>
      </c>
      <c r="D73" s="5">
        <v>1806</v>
      </c>
      <c r="E73" s="5">
        <v>308</v>
      </c>
      <c r="F73" s="3">
        <v>134754</v>
      </c>
      <c r="G73" s="7">
        <v>387.15199999999999</v>
      </c>
      <c r="H73">
        <v>19</v>
      </c>
    </row>
    <row r="74" spans="1:8">
      <c r="A74" s="4">
        <v>45933</v>
      </c>
      <c r="B74" s="5">
        <v>145</v>
      </c>
      <c r="C74" s="5">
        <v>34</v>
      </c>
      <c r="D74" s="5">
        <v>3009</v>
      </c>
      <c r="E74" s="5">
        <v>499</v>
      </c>
      <c r="F74" s="3">
        <v>228357</v>
      </c>
      <c r="G74" s="7">
        <v>661.96339999999998</v>
      </c>
      <c r="H74">
        <v>19</v>
      </c>
    </row>
    <row r="75" spans="1:8">
      <c r="A75" s="4">
        <v>45934</v>
      </c>
      <c r="B75" s="5">
        <v>162</v>
      </c>
      <c r="C75" s="5">
        <v>43</v>
      </c>
      <c r="D75" s="5">
        <v>3448</v>
      </c>
      <c r="E75" s="5">
        <v>568</v>
      </c>
      <c r="F75" s="3">
        <v>291866</v>
      </c>
      <c r="G75" s="7">
        <v>839.91380000000004</v>
      </c>
      <c r="H75">
        <v>19</v>
      </c>
    </row>
    <row r="76" spans="1:8">
      <c r="A76" s="4">
        <v>45935</v>
      </c>
      <c r="B76" s="5">
        <v>141</v>
      </c>
      <c r="C76" s="5">
        <v>30</v>
      </c>
      <c r="D76" s="5">
        <v>2917</v>
      </c>
      <c r="E76" s="5">
        <v>405</v>
      </c>
      <c r="F76" s="3">
        <v>258059</v>
      </c>
      <c r="G76" s="7">
        <v>712.33410000000003</v>
      </c>
      <c r="H76">
        <v>19</v>
      </c>
    </row>
    <row r="77" spans="1:8">
      <c r="A77" s="4">
        <v>45936</v>
      </c>
      <c r="B77" s="5">
        <v>93</v>
      </c>
      <c r="C77" s="5">
        <v>22</v>
      </c>
      <c r="D77" s="5">
        <v>2473</v>
      </c>
      <c r="E77" s="5">
        <v>269</v>
      </c>
      <c r="F77" s="3">
        <v>220493</v>
      </c>
      <c r="G77" s="7">
        <v>620.70129999999995</v>
      </c>
      <c r="H77">
        <v>19</v>
      </c>
    </row>
    <row r="78" spans="1:8">
      <c r="A78" s="4">
        <v>45937</v>
      </c>
      <c r="B78" s="5">
        <v>42</v>
      </c>
      <c r="C78" s="5">
        <v>13</v>
      </c>
      <c r="D78" s="5">
        <v>2526</v>
      </c>
      <c r="E78" s="5">
        <v>199</v>
      </c>
      <c r="F78" s="3">
        <v>261130</v>
      </c>
      <c r="G78" s="7">
        <v>707.3433</v>
      </c>
      <c r="H78">
        <v>18</v>
      </c>
    </row>
    <row r="79" spans="1:8">
      <c r="A79" s="4">
        <v>45938</v>
      </c>
      <c r="B79" s="5">
        <v>37</v>
      </c>
      <c r="C79" s="5">
        <v>9</v>
      </c>
      <c r="D79" s="5">
        <v>3441</v>
      </c>
      <c r="E79" s="5">
        <v>145</v>
      </c>
      <c r="F79" s="3">
        <v>384234</v>
      </c>
      <c r="G79" s="7">
        <v>1045.1785</v>
      </c>
      <c r="H79">
        <v>18</v>
      </c>
    </row>
    <row r="80" spans="1:8">
      <c r="A80" s="4">
        <v>45939</v>
      </c>
      <c r="B80" s="5">
        <v>31</v>
      </c>
      <c r="C80" s="5">
        <v>4</v>
      </c>
      <c r="D80" s="5">
        <v>2331</v>
      </c>
      <c r="E80" s="5">
        <v>107</v>
      </c>
      <c r="F80" s="3">
        <v>222815</v>
      </c>
      <c r="G80" s="7">
        <v>602.38679999999999</v>
      </c>
      <c r="H80">
        <v>18</v>
      </c>
    </row>
    <row r="81" spans="1:8">
      <c r="A81" s="4">
        <v>45940</v>
      </c>
      <c r="B81" s="5">
        <v>33</v>
      </c>
      <c r="C81" s="5">
        <v>6</v>
      </c>
      <c r="D81" s="5">
        <v>2535</v>
      </c>
      <c r="E81" s="5">
        <v>111</v>
      </c>
      <c r="F81" s="3">
        <v>215835</v>
      </c>
      <c r="G81" s="7">
        <v>593.76660000000004</v>
      </c>
      <c r="H81">
        <v>18</v>
      </c>
    </row>
    <row r="82" spans="1:8">
      <c r="A82" s="4">
        <v>45941</v>
      </c>
      <c r="B82" s="5">
        <v>33</v>
      </c>
      <c r="C82" s="5">
        <v>3</v>
      </c>
      <c r="D82" s="5">
        <v>1512</v>
      </c>
      <c r="E82" s="5">
        <v>78</v>
      </c>
      <c r="F82" s="3">
        <v>151959</v>
      </c>
      <c r="G82" s="7">
        <v>390.13749999999999</v>
      </c>
      <c r="H82">
        <v>17</v>
      </c>
    </row>
    <row r="83" spans="1:8">
      <c r="A83" s="4">
        <v>45942</v>
      </c>
      <c r="B83" s="5">
        <v>9</v>
      </c>
      <c r="C83" s="5">
        <v>4</v>
      </c>
      <c r="D83" s="5">
        <v>892</v>
      </c>
      <c r="E83" s="5">
        <v>44</v>
      </c>
      <c r="F83" s="3">
        <v>89182</v>
      </c>
      <c r="G83" s="7">
        <v>233.37090000000001</v>
      </c>
      <c r="H83">
        <v>17</v>
      </c>
    </row>
    <row r="84" spans="1:8">
      <c r="A84" s="4">
        <v>45943</v>
      </c>
      <c r="B84" s="5">
        <v>8</v>
      </c>
      <c r="C84" s="5">
        <v>1</v>
      </c>
      <c r="D84" s="5">
        <v>338</v>
      </c>
      <c r="E84" s="5">
        <v>8</v>
      </c>
      <c r="F84" s="3">
        <v>35939</v>
      </c>
      <c r="G84" s="7">
        <v>96.543499999999995</v>
      </c>
      <c r="H84">
        <v>17</v>
      </c>
    </row>
    <row r="85" spans="1:8">
      <c r="A85" s="4">
        <v>45944</v>
      </c>
      <c r="B85" s="5">
        <v>8</v>
      </c>
      <c r="C85" s="5">
        <v>1</v>
      </c>
      <c r="D85" s="5">
        <v>306</v>
      </c>
      <c r="E85" s="5">
        <v>9</v>
      </c>
      <c r="F85" s="3">
        <v>33252</v>
      </c>
      <c r="G85" s="7">
        <v>92.173299999999998</v>
      </c>
      <c r="H85">
        <v>18</v>
      </c>
    </row>
    <row r="86" spans="1:8">
      <c r="A86" s="4">
        <v>45945</v>
      </c>
      <c r="B86" s="5">
        <v>8</v>
      </c>
      <c r="C86" s="5">
        <v>0</v>
      </c>
      <c r="D86" s="5">
        <v>128</v>
      </c>
      <c r="E86" s="5">
        <v>5</v>
      </c>
      <c r="F86" s="3">
        <v>15899</v>
      </c>
      <c r="G86" s="7">
        <v>45.267699999999998</v>
      </c>
      <c r="H86">
        <v>18</v>
      </c>
    </row>
    <row r="87" spans="1:8">
      <c r="A87" s="4">
        <v>45946</v>
      </c>
      <c r="B87" s="5">
        <v>2</v>
      </c>
      <c r="C87" s="5">
        <v>0</v>
      </c>
      <c r="D87" s="5">
        <v>88</v>
      </c>
      <c r="E87" s="5">
        <v>2</v>
      </c>
      <c r="F87" s="3">
        <v>15769</v>
      </c>
      <c r="G87" s="7">
        <v>43.575800000000001</v>
      </c>
      <c r="H87">
        <v>17</v>
      </c>
    </row>
    <row r="88" spans="1:8">
      <c r="A88" s="4">
        <v>45947</v>
      </c>
      <c r="B88" s="5">
        <v>4</v>
      </c>
      <c r="C88" s="5">
        <v>0</v>
      </c>
      <c r="D88" s="5">
        <v>155</v>
      </c>
      <c r="E88" s="5">
        <v>3</v>
      </c>
      <c r="F88" s="3">
        <v>30882</v>
      </c>
      <c r="G88" s="7">
        <v>91.8994</v>
      </c>
      <c r="H88">
        <v>18</v>
      </c>
    </row>
    <row r="89" spans="1:8">
      <c r="A89" s="4">
        <v>45948</v>
      </c>
      <c r="B89" s="5">
        <v>1</v>
      </c>
      <c r="C89" s="5">
        <v>0</v>
      </c>
      <c r="D89" s="5">
        <v>230</v>
      </c>
      <c r="E89" s="5">
        <v>11</v>
      </c>
      <c r="F89" s="3">
        <v>35402</v>
      </c>
      <c r="G89" s="7">
        <v>102.1063</v>
      </c>
      <c r="H89">
        <v>17</v>
      </c>
    </row>
    <row r="90" spans="1:8">
      <c r="A90" s="4">
        <v>45949</v>
      </c>
      <c r="B90" s="5">
        <v>3</v>
      </c>
      <c r="C90" s="5">
        <v>1</v>
      </c>
      <c r="D90" s="5">
        <v>184</v>
      </c>
      <c r="E90" s="5">
        <v>7</v>
      </c>
      <c r="F90" s="3">
        <v>33276</v>
      </c>
      <c r="G90" s="7">
        <v>100.84780000000001</v>
      </c>
      <c r="H90">
        <v>18</v>
      </c>
    </row>
    <row r="91" spans="1:8">
      <c r="A91" s="4">
        <v>45950</v>
      </c>
      <c r="B91" s="5">
        <v>2</v>
      </c>
      <c r="C91" s="5">
        <v>2</v>
      </c>
      <c r="D91" s="5">
        <v>475</v>
      </c>
      <c r="E91" s="5">
        <v>8</v>
      </c>
      <c r="F91" s="3">
        <v>61432</v>
      </c>
      <c r="G91" s="7">
        <v>194.54920000000001</v>
      </c>
      <c r="H91">
        <v>19</v>
      </c>
    </row>
    <row r="92" spans="1:8">
      <c r="A92" s="4">
        <v>45951</v>
      </c>
      <c r="B92" s="5">
        <v>4</v>
      </c>
      <c r="C92" s="5">
        <v>1</v>
      </c>
      <c r="D92" s="5">
        <v>620</v>
      </c>
      <c r="E92" s="5">
        <v>14</v>
      </c>
      <c r="F92" s="3">
        <v>81496</v>
      </c>
      <c r="G92" s="7">
        <v>266.18509999999998</v>
      </c>
      <c r="H92">
        <v>19</v>
      </c>
    </row>
    <row r="93" spans="1:8">
      <c r="A93" s="4">
        <v>45952</v>
      </c>
      <c r="B93" s="5">
        <v>8</v>
      </c>
      <c r="C93" s="5">
        <v>0</v>
      </c>
      <c r="D93" s="5">
        <v>1092</v>
      </c>
      <c r="E93" s="5">
        <v>31</v>
      </c>
      <c r="F93" s="3">
        <v>118929</v>
      </c>
      <c r="G93" s="7">
        <v>396.49470000000002</v>
      </c>
      <c r="H93">
        <v>20</v>
      </c>
    </row>
    <row r="94" spans="1:8">
      <c r="A94" s="4">
        <v>45953</v>
      </c>
      <c r="B94" s="5">
        <v>9</v>
      </c>
      <c r="C94" s="5">
        <v>1</v>
      </c>
      <c r="D94" s="5">
        <v>1159</v>
      </c>
      <c r="E94" s="5">
        <v>54</v>
      </c>
      <c r="F94" s="3">
        <v>134047</v>
      </c>
      <c r="G94" s="7">
        <v>458.28429999999997</v>
      </c>
      <c r="H94">
        <v>20</v>
      </c>
    </row>
    <row r="95" spans="1:8">
      <c r="A95" s="4">
        <v>45954</v>
      </c>
      <c r="B95" s="5">
        <v>8</v>
      </c>
      <c r="C95" s="5">
        <v>1</v>
      </c>
      <c r="D95" s="5">
        <v>611</v>
      </c>
      <c r="E95" s="5">
        <v>16</v>
      </c>
      <c r="F95" s="3">
        <v>67239</v>
      </c>
      <c r="G95" s="7">
        <v>224.6962</v>
      </c>
      <c r="H95">
        <v>20</v>
      </c>
    </row>
    <row r="96" spans="1:8">
      <c r="A96" s="4">
        <v>45955</v>
      </c>
      <c r="B96" s="5">
        <v>25</v>
      </c>
      <c r="C96" s="5">
        <v>3</v>
      </c>
      <c r="D96" s="5">
        <v>2000</v>
      </c>
      <c r="E96" s="5">
        <v>161</v>
      </c>
      <c r="F96" s="3">
        <v>285951</v>
      </c>
      <c r="G96" s="7">
        <v>852.40589999999997</v>
      </c>
      <c r="H96">
        <v>20</v>
      </c>
    </row>
    <row r="97" spans="1:8">
      <c r="A97" s="4">
        <v>45956</v>
      </c>
      <c r="B97" s="5">
        <v>82</v>
      </c>
      <c r="C97" s="5">
        <v>6</v>
      </c>
      <c r="D97" s="5">
        <v>4812</v>
      </c>
      <c r="E97" s="5">
        <v>380</v>
      </c>
      <c r="F97" s="3">
        <v>968481</v>
      </c>
      <c r="G97" s="7">
        <v>2736.6667000000002</v>
      </c>
      <c r="H97">
        <v>19</v>
      </c>
    </row>
    <row r="98" spans="1:8">
      <c r="A98" s="4">
        <v>45957</v>
      </c>
      <c r="B98" s="5">
        <v>14</v>
      </c>
      <c r="C98" s="5">
        <v>1</v>
      </c>
      <c r="D98" s="5">
        <v>1125</v>
      </c>
      <c r="E98" s="5">
        <v>36</v>
      </c>
      <c r="F98" s="3">
        <v>129584</v>
      </c>
      <c r="G98" s="7">
        <v>421.46940000000001</v>
      </c>
      <c r="H98">
        <v>20</v>
      </c>
    </row>
    <row r="99" spans="1:8">
      <c r="A99" s="4">
        <v>45958</v>
      </c>
      <c r="B99" s="5">
        <v>5</v>
      </c>
      <c r="C99" s="5">
        <v>1</v>
      </c>
      <c r="D99" s="5">
        <v>957</v>
      </c>
      <c r="E99" s="5">
        <v>20</v>
      </c>
      <c r="F99" s="3">
        <v>97995</v>
      </c>
      <c r="G99" s="7">
        <v>329.26870000000002</v>
      </c>
      <c r="H99">
        <v>20</v>
      </c>
    </row>
    <row r="100" spans="1:8">
      <c r="A100" s="4">
        <v>45959</v>
      </c>
      <c r="B100" s="5">
        <v>3</v>
      </c>
      <c r="C100" s="5">
        <v>0</v>
      </c>
      <c r="D100" s="5">
        <v>813</v>
      </c>
      <c r="E100" s="5">
        <v>25</v>
      </c>
      <c r="F100" s="3">
        <v>76335</v>
      </c>
      <c r="G100" s="7">
        <v>239.54560000000001</v>
      </c>
      <c r="H100">
        <v>19</v>
      </c>
    </row>
    <row r="101" spans="1:8">
      <c r="A101" s="4">
        <v>45960</v>
      </c>
      <c r="B101" s="5">
        <v>19</v>
      </c>
      <c r="C101" s="5">
        <v>3</v>
      </c>
      <c r="D101" s="5">
        <v>991</v>
      </c>
      <c r="E101" s="5">
        <v>25</v>
      </c>
      <c r="F101" s="3">
        <v>94331</v>
      </c>
      <c r="G101" s="7">
        <v>291.577</v>
      </c>
      <c r="H101">
        <v>19</v>
      </c>
    </row>
    <row r="102" spans="1:8">
      <c r="A102" s="4">
        <v>45961</v>
      </c>
      <c r="B102" s="5">
        <v>11</v>
      </c>
      <c r="C102" s="5">
        <v>10</v>
      </c>
      <c r="D102" s="5">
        <v>1453</v>
      </c>
      <c r="E102" s="5">
        <v>48</v>
      </c>
      <c r="F102" s="3">
        <v>155755</v>
      </c>
      <c r="G102" s="7">
        <v>448.88049999999998</v>
      </c>
      <c r="H102">
        <v>19</v>
      </c>
    </row>
    <row r="103" spans="1:8">
      <c r="A103" s="4">
        <v>45962</v>
      </c>
      <c r="B103" s="5">
        <v>16</v>
      </c>
      <c r="C103" s="5">
        <v>6</v>
      </c>
      <c r="D103" s="5">
        <v>4837</v>
      </c>
      <c r="E103" s="5">
        <v>164</v>
      </c>
      <c r="F103" s="3">
        <v>344635</v>
      </c>
      <c r="G103" s="7">
        <v>979.24009999999998</v>
      </c>
      <c r="H103">
        <v>19</v>
      </c>
    </row>
    <row r="104" spans="1:8">
      <c r="A104" s="4">
        <v>45963</v>
      </c>
      <c r="B104" s="5">
        <v>25</v>
      </c>
      <c r="C104" s="5">
        <v>4</v>
      </c>
      <c r="D104" s="5">
        <v>4185</v>
      </c>
      <c r="E104" s="5">
        <v>101</v>
      </c>
      <c r="F104" s="3">
        <v>405316</v>
      </c>
      <c r="G104" s="7">
        <v>1067.0808</v>
      </c>
      <c r="H104">
        <v>17</v>
      </c>
    </row>
    <row r="105" spans="1:8">
      <c r="A105" s="4">
        <v>45964</v>
      </c>
      <c r="B105" s="5">
        <v>49</v>
      </c>
      <c r="C105" s="5">
        <v>11</v>
      </c>
      <c r="D105" s="5">
        <v>10731</v>
      </c>
      <c r="E105" s="5">
        <v>313</v>
      </c>
      <c r="F105" s="3">
        <v>999215</v>
      </c>
      <c r="G105" s="7">
        <v>2626.7406999999998</v>
      </c>
      <c r="H105">
        <v>17</v>
      </c>
    </row>
    <row r="106" spans="1:8">
      <c r="A106" s="4">
        <v>45965</v>
      </c>
      <c r="B106" s="5">
        <v>92</v>
      </c>
      <c r="C106" s="5">
        <v>16</v>
      </c>
      <c r="D106" s="5">
        <v>13157</v>
      </c>
      <c r="E106" s="5">
        <v>423</v>
      </c>
      <c r="F106" s="3">
        <v>1286189</v>
      </c>
      <c r="G106" s="7">
        <v>3351.6826999999998</v>
      </c>
      <c r="H106">
        <v>17</v>
      </c>
    </row>
    <row r="107" spans="1:8">
      <c r="A107" s="4">
        <v>45966</v>
      </c>
      <c r="B107" s="5">
        <v>73</v>
      </c>
      <c r="C107" s="5">
        <v>23</v>
      </c>
      <c r="D107" s="5">
        <v>15535</v>
      </c>
      <c r="E107" s="5">
        <v>591</v>
      </c>
      <c r="F107" s="3">
        <v>2144549</v>
      </c>
      <c r="G107" s="7">
        <v>5506.857</v>
      </c>
      <c r="H107">
        <v>18</v>
      </c>
    </row>
    <row r="108" spans="1:8">
      <c r="A108" s="4">
        <v>45967</v>
      </c>
      <c r="B108" s="5">
        <v>75</v>
      </c>
      <c r="C108" s="5">
        <v>7</v>
      </c>
      <c r="D108" s="5">
        <v>8993</v>
      </c>
      <c r="E108" s="5">
        <v>418</v>
      </c>
      <c r="F108" s="3">
        <v>1331178</v>
      </c>
      <c r="G108" s="7">
        <v>3415.5209</v>
      </c>
      <c r="H108">
        <v>18</v>
      </c>
    </row>
    <row r="109" spans="1:8">
      <c r="A109" s="4">
        <v>45968</v>
      </c>
      <c r="B109" s="5">
        <v>47</v>
      </c>
      <c r="C109" s="5">
        <v>11</v>
      </c>
      <c r="D109" s="5">
        <v>7586</v>
      </c>
      <c r="E109" s="5">
        <v>277</v>
      </c>
      <c r="F109" s="3">
        <v>988330</v>
      </c>
      <c r="G109" s="7">
        <v>2578.9360999999999</v>
      </c>
      <c r="H109">
        <v>18</v>
      </c>
    </row>
    <row r="110" spans="1:8">
      <c r="A110" s="4">
        <v>45969</v>
      </c>
      <c r="B110" s="5">
        <v>23</v>
      </c>
      <c r="C110" s="5">
        <v>6</v>
      </c>
      <c r="D110" s="5">
        <v>3291</v>
      </c>
      <c r="E110" s="5">
        <v>92</v>
      </c>
      <c r="F110" s="3">
        <v>337541</v>
      </c>
      <c r="G110" s="7">
        <v>868.46429999999998</v>
      </c>
      <c r="H110">
        <v>17</v>
      </c>
    </row>
    <row r="111" spans="1:8">
      <c r="A111" s="4">
        <v>45970</v>
      </c>
      <c r="B111" s="5">
        <v>17</v>
      </c>
      <c r="C111" s="5">
        <v>1</v>
      </c>
      <c r="D111" s="5">
        <v>1822</v>
      </c>
      <c r="E111" s="5">
        <v>32</v>
      </c>
      <c r="F111" s="3">
        <v>197871</v>
      </c>
      <c r="G111" s="7">
        <v>514.44970000000001</v>
      </c>
      <c r="H111">
        <v>18</v>
      </c>
    </row>
    <row r="112" spans="1:8">
      <c r="A112" s="4">
        <v>45971</v>
      </c>
      <c r="B112" s="5">
        <v>12</v>
      </c>
      <c r="C112" s="5">
        <v>4</v>
      </c>
      <c r="D112" s="5">
        <v>2203</v>
      </c>
      <c r="E112" s="5">
        <v>52</v>
      </c>
      <c r="F112" s="3">
        <v>204434</v>
      </c>
      <c r="G112" s="7">
        <v>529.27890000000002</v>
      </c>
      <c r="H112">
        <v>17</v>
      </c>
    </row>
    <row r="113" spans="1:8">
      <c r="A113" s="4">
        <v>45972</v>
      </c>
      <c r="B113" s="5">
        <v>22</v>
      </c>
      <c r="C113" s="5">
        <v>5</v>
      </c>
      <c r="D113" s="5">
        <v>2546</v>
      </c>
      <c r="E113" s="5">
        <v>64</v>
      </c>
      <c r="F113" s="3">
        <v>293085</v>
      </c>
      <c r="G113" s="7">
        <v>746.23519999999996</v>
      </c>
      <c r="H113">
        <v>17</v>
      </c>
    </row>
    <row r="114" spans="1:8">
      <c r="A114" s="4">
        <v>45973</v>
      </c>
      <c r="B114" s="5">
        <v>9</v>
      </c>
      <c r="C114" s="5">
        <v>0</v>
      </c>
      <c r="D114" s="5">
        <v>1415</v>
      </c>
      <c r="E114" s="5">
        <v>27</v>
      </c>
      <c r="F114" s="3">
        <v>178170</v>
      </c>
      <c r="G114" s="7">
        <v>455.58780000000002</v>
      </c>
      <c r="H114">
        <v>18</v>
      </c>
    </row>
    <row r="115" spans="1:8">
      <c r="A115" s="4">
        <v>45974</v>
      </c>
      <c r="B115" s="5">
        <v>12</v>
      </c>
      <c r="C115" s="5">
        <v>3</v>
      </c>
      <c r="D115" s="5">
        <v>1899</v>
      </c>
      <c r="E115" s="5">
        <v>37</v>
      </c>
      <c r="F115" s="3">
        <v>193562</v>
      </c>
      <c r="G115" s="7">
        <v>499.96300000000002</v>
      </c>
      <c r="H115">
        <v>18</v>
      </c>
    </row>
    <row r="116" spans="1:8">
      <c r="A116" s="4">
        <v>45975</v>
      </c>
      <c r="B116" s="5">
        <v>15</v>
      </c>
      <c r="C116" s="5">
        <v>3</v>
      </c>
      <c r="D116" s="5">
        <v>1961</v>
      </c>
      <c r="E116" s="5">
        <v>36</v>
      </c>
      <c r="F116" s="3">
        <v>191987</v>
      </c>
      <c r="G116" s="7">
        <v>494.6472</v>
      </c>
      <c r="H116">
        <v>17</v>
      </c>
    </row>
    <row r="117" spans="1:8">
      <c r="A117" s="4">
        <v>45976</v>
      </c>
      <c r="B117" s="5">
        <v>10</v>
      </c>
      <c r="C117" s="5">
        <v>3</v>
      </c>
      <c r="D117" s="5">
        <v>2090</v>
      </c>
      <c r="E117" s="5">
        <v>56</v>
      </c>
      <c r="F117" s="3">
        <v>239127</v>
      </c>
      <c r="G117" s="7">
        <v>625.47929999999997</v>
      </c>
      <c r="H117">
        <v>18</v>
      </c>
    </row>
    <row r="118" spans="1:8">
      <c r="A118" s="4">
        <v>45977</v>
      </c>
      <c r="B118" s="5">
        <v>12</v>
      </c>
      <c r="C118" s="5">
        <v>3</v>
      </c>
      <c r="D118" s="5">
        <v>1752</v>
      </c>
      <c r="E118" s="5">
        <v>46</v>
      </c>
      <c r="F118" s="3">
        <v>167178</v>
      </c>
      <c r="G118" s="7">
        <v>442.6173</v>
      </c>
      <c r="H118">
        <v>18</v>
      </c>
    </row>
    <row r="119" spans="1:8">
      <c r="A119" s="4">
        <v>45978</v>
      </c>
      <c r="B119" s="5">
        <v>13</v>
      </c>
      <c r="C119" s="5">
        <v>3</v>
      </c>
      <c r="D119" s="5">
        <v>3403</v>
      </c>
      <c r="E119" s="5">
        <v>157</v>
      </c>
      <c r="F119" s="3">
        <v>626216</v>
      </c>
      <c r="G119" s="7">
        <v>1702.8825999999999</v>
      </c>
      <c r="H119">
        <v>17</v>
      </c>
    </row>
    <row r="120" spans="1:8">
      <c r="A120" s="4">
        <v>45979</v>
      </c>
      <c r="B120" s="5">
        <v>20</v>
      </c>
      <c r="C120" s="5">
        <v>6</v>
      </c>
      <c r="D120" s="5">
        <v>2393</v>
      </c>
      <c r="E120" s="5">
        <v>105</v>
      </c>
      <c r="F120" s="3">
        <v>382952</v>
      </c>
      <c r="G120" s="7">
        <v>1027.8257000000001</v>
      </c>
      <c r="H120">
        <v>17</v>
      </c>
    </row>
    <row r="121" spans="1:8">
      <c r="A121" s="4">
        <v>45980</v>
      </c>
      <c r="B121" s="5">
        <v>11</v>
      </c>
      <c r="C121" s="5">
        <v>1</v>
      </c>
      <c r="D121" s="5">
        <v>1820</v>
      </c>
      <c r="E121" s="5">
        <v>91</v>
      </c>
      <c r="F121" s="3">
        <v>305799</v>
      </c>
      <c r="G121" s="7">
        <v>826.41030000000001</v>
      </c>
      <c r="H121">
        <v>17</v>
      </c>
    </row>
    <row r="122" spans="1:8">
      <c r="A122" s="4">
        <v>45981</v>
      </c>
      <c r="B122" s="5">
        <v>30</v>
      </c>
      <c r="C122" s="5">
        <v>5</v>
      </c>
      <c r="D122" s="5">
        <v>3224</v>
      </c>
      <c r="E122" s="5">
        <v>122</v>
      </c>
      <c r="F122" s="3">
        <v>441080</v>
      </c>
      <c r="G122" s="7">
        <v>1164.4392</v>
      </c>
      <c r="H122">
        <v>17</v>
      </c>
    </row>
    <row r="123" spans="1:8">
      <c r="A123" s="4">
        <v>45982</v>
      </c>
      <c r="B123" s="5">
        <v>16</v>
      </c>
      <c r="C123" s="5">
        <v>11</v>
      </c>
      <c r="D123" s="5">
        <v>3648</v>
      </c>
      <c r="E123" s="5">
        <v>137</v>
      </c>
      <c r="F123" s="3">
        <v>416739</v>
      </c>
      <c r="G123" s="7">
        <v>1098.0119</v>
      </c>
      <c r="H123">
        <v>17</v>
      </c>
    </row>
    <row r="124" spans="1:8">
      <c r="A124" s="4">
        <v>45983</v>
      </c>
      <c r="B124" s="5">
        <v>47</v>
      </c>
      <c r="C124" s="5">
        <v>9</v>
      </c>
      <c r="D124" s="5">
        <v>3305</v>
      </c>
      <c r="E124" s="5">
        <v>130</v>
      </c>
      <c r="F124" s="3">
        <v>338332</v>
      </c>
      <c r="G124" s="7">
        <v>888.49310000000003</v>
      </c>
      <c r="H124">
        <v>18</v>
      </c>
    </row>
    <row r="125" spans="1:8">
      <c r="A125" s="4">
        <v>45984</v>
      </c>
      <c r="B125" s="5">
        <v>20</v>
      </c>
      <c r="C125" s="5">
        <v>4</v>
      </c>
      <c r="D125" s="5">
        <v>2004</v>
      </c>
      <c r="E125" s="5">
        <v>78</v>
      </c>
      <c r="F125" s="3">
        <v>192406</v>
      </c>
      <c r="G125" s="7">
        <v>492.77210000000002</v>
      </c>
      <c r="H125">
        <v>18</v>
      </c>
    </row>
    <row r="126" spans="1:8">
      <c r="A126" s="4">
        <v>45985</v>
      </c>
      <c r="B126" s="5">
        <v>14</v>
      </c>
      <c r="C126" s="5">
        <v>4</v>
      </c>
      <c r="D126" s="5">
        <v>1633</v>
      </c>
      <c r="E126" s="5">
        <v>39</v>
      </c>
      <c r="F126" s="3">
        <v>133302</v>
      </c>
      <c r="G126" s="7">
        <v>346.2097</v>
      </c>
      <c r="H126">
        <v>18</v>
      </c>
    </row>
    <row r="127" spans="1:8">
      <c r="A127" s="4">
        <v>45986</v>
      </c>
      <c r="B127" s="5">
        <v>40</v>
      </c>
      <c r="C127" s="5">
        <v>1</v>
      </c>
      <c r="D127" s="5">
        <v>3114</v>
      </c>
      <c r="E127" s="5">
        <v>79</v>
      </c>
      <c r="F127" s="3">
        <v>196948</v>
      </c>
      <c r="G127" s="7">
        <v>541.04989999999998</v>
      </c>
      <c r="H127">
        <v>19</v>
      </c>
    </row>
    <row r="128" spans="1:8">
      <c r="A128" s="4">
        <v>45987</v>
      </c>
      <c r="B128" s="5">
        <v>83</v>
      </c>
      <c r="C128" s="5">
        <v>14</v>
      </c>
      <c r="D128" s="5">
        <v>3556</v>
      </c>
      <c r="E128" s="5">
        <v>89</v>
      </c>
      <c r="F128" s="3">
        <v>243336</v>
      </c>
      <c r="G128" s="7">
        <v>690.07989999999995</v>
      </c>
      <c r="H128">
        <v>19</v>
      </c>
    </row>
    <row r="129" spans="1:8">
      <c r="A129" s="4">
        <v>45988</v>
      </c>
      <c r="B129" s="5">
        <v>82</v>
      </c>
      <c r="C129" s="5">
        <v>17</v>
      </c>
      <c r="D129" s="5">
        <v>3907</v>
      </c>
      <c r="E129" s="5">
        <v>86</v>
      </c>
      <c r="F129" s="3">
        <v>262662</v>
      </c>
      <c r="G129" s="7">
        <v>740.69880000000001</v>
      </c>
      <c r="H129">
        <v>19</v>
      </c>
    </row>
    <row r="130" spans="1:8">
      <c r="A130" s="4">
        <v>45989</v>
      </c>
      <c r="B130" s="5">
        <v>257</v>
      </c>
      <c r="C130" s="5">
        <v>21</v>
      </c>
      <c r="D130" s="5">
        <v>12461</v>
      </c>
      <c r="E130" s="5">
        <v>213</v>
      </c>
      <c r="F130" s="3">
        <v>828365</v>
      </c>
      <c r="G130" s="7">
        <v>2506.5189</v>
      </c>
      <c r="H130">
        <v>19</v>
      </c>
    </row>
    <row r="131" spans="1:8">
      <c r="A131" s="4">
        <v>45990</v>
      </c>
      <c r="B131" s="5">
        <v>319</v>
      </c>
      <c r="C131" s="5">
        <v>11</v>
      </c>
      <c r="D131" s="5">
        <v>16841</v>
      </c>
      <c r="E131" s="5">
        <v>326</v>
      </c>
      <c r="F131" s="3">
        <v>990213</v>
      </c>
      <c r="G131" s="7">
        <v>3067.5877</v>
      </c>
      <c r="H131">
        <v>20</v>
      </c>
    </row>
    <row r="132" spans="1:8">
      <c r="A132" s="4">
        <v>45991</v>
      </c>
      <c r="B132" s="5">
        <v>299</v>
      </c>
      <c r="C132" s="5">
        <v>27</v>
      </c>
      <c r="D132" s="5">
        <v>15173</v>
      </c>
      <c r="E132" s="5">
        <v>256</v>
      </c>
      <c r="F132" s="3">
        <v>675235</v>
      </c>
      <c r="G132" s="7">
        <v>2165.2161000000001</v>
      </c>
      <c r="H132">
        <v>20</v>
      </c>
    </row>
    <row r="133" spans="1:8">
      <c r="A133" s="4">
        <v>45992</v>
      </c>
      <c r="B133" s="5">
        <v>475</v>
      </c>
      <c r="C133" s="5">
        <v>39</v>
      </c>
      <c r="D133" s="5">
        <v>22926</v>
      </c>
      <c r="E133" s="5">
        <v>377</v>
      </c>
      <c r="F133" s="3">
        <v>856205</v>
      </c>
      <c r="G133" s="7">
        <v>2812.962</v>
      </c>
      <c r="H133">
        <v>21</v>
      </c>
    </row>
    <row r="134" spans="1:8">
      <c r="A134" s="4">
        <v>45993</v>
      </c>
      <c r="B134" s="5">
        <v>265</v>
      </c>
      <c r="C134" s="5">
        <v>23</v>
      </c>
      <c r="D134" s="5">
        <v>14499</v>
      </c>
      <c r="E134" s="5">
        <v>323</v>
      </c>
      <c r="F134" s="3">
        <v>719801</v>
      </c>
      <c r="G134" s="7">
        <v>2323.2175999999999</v>
      </c>
      <c r="H134">
        <v>20</v>
      </c>
    </row>
    <row r="135" spans="1:8">
      <c r="A135" s="4">
        <v>45994</v>
      </c>
      <c r="B135" s="5">
        <v>193</v>
      </c>
      <c r="C135" s="5">
        <v>16</v>
      </c>
      <c r="D135" s="5">
        <v>8135</v>
      </c>
      <c r="E135" s="5">
        <v>144</v>
      </c>
      <c r="F135" s="3">
        <v>453587</v>
      </c>
      <c r="G135" s="7">
        <v>1411.6347000000001</v>
      </c>
      <c r="H135">
        <v>20</v>
      </c>
    </row>
    <row r="136" spans="1:8">
      <c r="A136" s="4">
        <v>45995</v>
      </c>
      <c r="B136" s="5">
        <v>100</v>
      </c>
      <c r="C136" s="5">
        <v>9</v>
      </c>
      <c r="D136" s="5">
        <v>4132</v>
      </c>
      <c r="E136" s="5">
        <v>74</v>
      </c>
      <c r="F136" s="3">
        <v>202185</v>
      </c>
      <c r="G136" s="7">
        <v>664.78240000000005</v>
      </c>
      <c r="H136">
        <v>20</v>
      </c>
    </row>
    <row r="137" spans="1:8">
      <c r="A137" s="4">
        <v>45996</v>
      </c>
      <c r="B137" s="5">
        <v>86</v>
      </c>
      <c r="C137" s="5">
        <v>10</v>
      </c>
      <c r="D137" s="5">
        <v>4205</v>
      </c>
      <c r="E137" s="5">
        <v>82</v>
      </c>
      <c r="F137" s="3">
        <v>210192</v>
      </c>
      <c r="G137" s="7">
        <v>709.96699999999998</v>
      </c>
      <c r="H137">
        <v>21</v>
      </c>
    </row>
    <row r="138" spans="1:8">
      <c r="A138" s="4">
        <v>45997</v>
      </c>
      <c r="B138" s="5">
        <v>60</v>
      </c>
      <c r="C138" s="5">
        <v>7</v>
      </c>
      <c r="D138" s="5">
        <v>3160</v>
      </c>
      <c r="E138" s="5">
        <v>19</v>
      </c>
      <c r="F138" s="3">
        <v>148951</v>
      </c>
      <c r="G138" s="7">
        <v>491.67939999999999</v>
      </c>
      <c r="H138">
        <v>21</v>
      </c>
    </row>
    <row r="139" spans="1:8">
      <c r="A139" s="4">
        <v>45998</v>
      </c>
      <c r="B139" s="5">
        <v>38</v>
      </c>
      <c r="C139" s="5">
        <v>2</v>
      </c>
      <c r="D139" s="5">
        <v>1847</v>
      </c>
      <c r="E139" s="5">
        <v>18</v>
      </c>
      <c r="F139" s="3">
        <v>87955</v>
      </c>
      <c r="G139" s="7">
        <v>290.6721</v>
      </c>
      <c r="H139">
        <v>21</v>
      </c>
    </row>
    <row r="140" spans="1:8">
      <c r="A140" s="4">
        <v>45999</v>
      </c>
      <c r="B140" s="5">
        <v>15</v>
      </c>
      <c r="C140" s="5">
        <v>3</v>
      </c>
      <c r="D140" s="5">
        <v>968</v>
      </c>
      <c r="E140" s="5">
        <v>28</v>
      </c>
      <c r="F140" s="3">
        <v>44882</v>
      </c>
      <c r="G140" s="7">
        <v>143.46879999999999</v>
      </c>
      <c r="H140">
        <v>20</v>
      </c>
    </row>
    <row r="141" spans="1:8">
      <c r="A141" s="4">
        <v>46000</v>
      </c>
      <c r="B141" s="5">
        <v>50</v>
      </c>
      <c r="C141" s="5">
        <v>4</v>
      </c>
      <c r="D141" s="5">
        <v>2130</v>
      </c>
      <c r="E141" s="5">
        <v>19</v>
      </c>
      <c r="F141" s="3">
        <v>71867</v>
      </c>
      <c r="G141" s="7">
        <v>220.19970000000001</v>
      </c>
      <c r="H141">
        <v>20</v>
      </c>
    </row>
    <row r="142" spans="1:8">
      <c r="A142" s="4">
        <v>46001</v>
      </c>
      <c r="B142" s="5">
        <v>94</v>
      </c>
      <c r="C142" s="5">
        <v>3</v>
      </c>
      <c r="D142" s="5">
        <v>2553</v>
      </c>
      <c r="E142" s="5">
        <v>30</v>
      </c>
      <c r="F142" s="3">
        <v>133971</v>
      </c>
      <c r="G142" s="7">
        <v>340.33690000000001</v>
      </c>
      <c r="H142">
        <v>17</v>
      </c>
    </row>
    <row r="143" spans="1:8">
      <c r="A143" s="4">
        <v>46002</v>
      </c>
      <c r="B143" s="5">
        <v>37</v>
      </c>
      <c r="C143" s="5">
        <v>9</v>
      </c>
      <c r="D143" s="5">
        <v>1696</v>
      </c>
      <c r="E143" s="5">
        <v>38</v>
      </c>
      <c r="F143" s="3">
        <v>100511</v>
      </c>
      <c r="G143" s="7">
        <v>261.15179999999998</v>
      </c>
      <c r="H143">
        <v>17</v>
      </c>
    </row>
    <row r="144" spans="1:8">
      <c r="A144" s="4">
        <v>46003</v>
      </c>
      <c r="B144" s="5">
        <v>28</v>
      </c>
      <c r="C144" s="5">
        <v>4</v>
      </c>
      <c r="D144" s="5">
        <v>1231</v>
      </c>
      <c r="E144" s="5">
        <v>52</v>
      </c>
      <c r="F144" s="3">
        <v>190761</v>
      </c>
      <c r="G144" s="7">
        <v>450.46899999999999</v>
      </c>
      <c r="H144">
        <v>16</v>
      </c>
    </row>
    <row r="145" spans="1:8">
      <c r="A145" s="4">
        <v>46004</v>
      </c>
      <c r="B145" s="5">
        <v>27</v>
      </c>
      <c r="C145" s="5">
        <v>4</v>
      </c>
      <c r="D145" s="5">
        <v>819</v>
      </c>
      <c r="E145" s="5">
        <v>18</v>
      </c>
      <c r="F145" s="3">
        <v>52709</v>
      </c>
      <c r="G145" s="7">
        <v>175.7372</v>
      </c>
      <c r="H145">
        <v>21</v>
      </c>
    </row>
    <row r="146" spans="1:8">
      <c r="A146" s="4">
        <v>46005</v>
      </c>
      <c r="B146" s="5">
        <v>16</v>
      </c>
      <c r="C146" s="5">
        <v>1</v>
      </c>
      <c r="D146" s="5">
        <v>444</v>
      </c>
      <c r="E146" s="5">
        <v>12</v>
      </c>
      <c r="F146" s="3">
        <v>20632</v>
      </c>
      <c r="G146" s="7">
        <v>63.822800000000001</v>
      </c>
      <c r="H146">
        <v>20</v>
      </c>
    </row>
    <row r="147" spans="1:8">
      <c r="A147" s="4">
        <v>46006</v>
      </c>
      <c r="B147" s="5">
        <v>30</v>
      </c>
      <c r="C147" s="5">
        <v>3</v>
      </c>
      <c r="D147" s="5">
        <v>974</v>
      </c>
      <c r="E147" s="5">
        <v>55</v>
      </c>
      <c r="F147" s="3">
        <v>49829</v>
      </c>
      <c r="G147" s="7">
        <v>150.76070000000001</v>
      </c>
      <c r="H147">
        <v>20</v>
      </c>
    </row>
    <row r="148" spans="1:8">
      <c r="A148" s="4">
        <v>46007</v>
      </c>
      <c r="B148" s="5">
        <v>19</v>
      </c>
      <c r="C148" s="5">
        <v>2</v>
      </c>
      <c r="D148" s="5">
        <v>372</v>
      </c>
      <c r="E148" s="5">
        <v>3</v>
      </c>
      <c r="F148" s="3">
        <v>25165</v>
      </c>
      <c r="G148" s="7">
        <v>70.358900000000006</v>
      </c>
      <c r="H148">
        <v>19</v>
      </c>
    </row>
    <row r="149" spans="1:8">
      <c r="A149" s="4">
        <v>46008</v>
      </c>
      <c r="B149" s="5">
        <v>11</v>
      </c>
      <c r="C149" s="5">
        <v>0</v>
      </c>
      <c r="D149" s="5">
        <v>324</v>
      </c>
      <c r="E149" s="5">
        <v>10</v>
      </c>
      <c r="F149" s="3">
        <v>40634</v>
      </c>
      <c r="G149" s="7">
        <v>133.3819</v>
      </c>
      <c r="H149">
        <v>20</v>
      </c>
    </row>
    <row r="150" spans="1:8">
      <c r="A150" s="4">
        <v>46009</v>
      </c>
      <c r="B150" s="5">
        <v>12</v>
      </c>
      <c r="C150" s="5">
        <v>2</v>
      </c>
      <c r="D150" s="5">
        <v>821</v>
      </c>
      <c r="E150" s="5">
        <v>19</v>
      </c>
      <c r="F150" s="3">
        <v>51992</v>
      </c>
      <c r="G150" s="7">
        <v>170.6934</v>
      </c>
      <c r="H150">
        <v>21</v>
      </c>
    </row>
    <row r="151" spans="1:8">
      <c r="A151" s="4">
        <v>46010</v>
      </c>
      <c r="B151" s="5">
        <v>12</v>
      </c>
      <c r="C151" s="5">
        <v>0</v>
      </c>
      <c r="D151" s="5">
        <v>825</v>
      </c>
      <c r="E151" s="5">
        <v>16</v>
      </c>
      <c r="F151" s="3">
        <v>67315</v>
      </c>
      <c r="G151" s="7">
        <v>203.82079999999999</v>
      </c>
      <c r="H151">
        <v>20</v>
      </c>
    </row>
    <row r="152" spans="1:8">
      <c r="A152" s="4">
        <v>46011</v>
      </c>
      <c r="B152" s="5">
        <v>7</v>
      </c>
      <c r="C152" s="5">
        <v>2</v>
      </c>
      <c r="D152" s="5">
        <v>1008</v>
      </c>
      <c r="E152" s="5">
        <v>22</v>
      </c>
      <c r="F152" s="3">
        <v>91847</v>
      </c>
      <c r="G152" s="7">
        <v>241.95160000000001</v>
      </c>
      <c r="H152">
        <v>17</v>
      </c>
    </row>
    <row r="153" spans="1:8">
      <c r="A153" s="4">
        <v>46012</v>
      </c>
      <c r="B153" s="5">
        <v>24</v>
      </c>
      <c r="C153" s="5">
        <v>0</v>
      </c>
      <c r="D153" s="5">
        <v>1373</v>
      </c>
      <c r="E153" s="5">
        <v>32</v>
      </c>
      <c r="F153" s="3">
        <v>94447</v>
      </c>
      <c r="G153" s="7">
        <v>267.17329999999998</v>
      </c>
      <c r="H153">
        <v>18</v>
      </c>
    </row>
    <row r="154" spans="1:8">
      <c r="A154" s="4">
        <v>46013</v>
      </c>
      <c r="B154" s="5">
        <v>38</v>
      </c>
      <c r="C154" s="5">
        <v>4</v>
      </c>
      <c r="D154" s="5">
        <v>1645</v>
      </c>
      <c r="E154" s="5">
        <v>51</v>
      </c>
      <c r="F154" s="3">
        <v>90913</v>
      </c>
      <c r="G154" s="7">
        <v>254.37569999999999</v>
      </c>
      <c r="H154">
        <v>18</v>
      </c>
    </row>
    <row r="155" spans="1:8">
      <c r="A155" s="4">
        <v>46014</v>
      </c>
      <c r="B155" s="5">
        <v>8</v>
      </c>
      <c r="C155" s="5">
        <v>0</v>
      </c>
      <c r="D155" s="5">
        <v>840</v>
      </c>
      <c r="E155" s="5">
        <v>16</v>
      </c>
      <c r="F155" s="3">
        <v>71323</v>
      </c>
      <c r="G155" s="7">
        <v>189.1523</v>
      </c>
      <c r="H155">
        <v>18</v>
      </c>
    </row>
    <row r="156" spans="1:8">
      <c r="A156" s="4">
        <v>46015</v>
      </c>
      <c r="B156" s="5">
        <v>9</v>
      </c>
      <c r="C156" s="5">
        <v>2</v>
      </c>
      <c r="D156" s="5">
        <v>990</v>
      </c>
      <c r="E156" s="5">
        <v>9</v>
      </c>
      <c r="F156" s="3">
        <v>91209</v>
      </c>
      <c r="G156" s="7">
        <v>244.69229999999999</v>
      </c>
      <c r="H156">
        <v>18</v>
      </c>
    </row>
    <row r="157" spans="1:8">
      <c r="A157" s="4">
        <v>46016</v>
      </c>
      <c r="B157" s="5">
        <v>21</v>
      </c>
      <c r="C157" s="5">
        <v>2</v>
      </c>
      <c r="D157" s="5">
        <v>1752</v>
      </c>
      <c r="E157" s="5">
        <v>51</v>
      </c>
      <c r="F157" s="3">
        <v>132309</v>
      </c>
      <c r="G157" s="7">
        <v>367.50979999999998</v>
      </c>
      <c r="H157">
        <v>18</v>
      </c>
    </row>
    <row r="158" spans="1:8">
      <c r="A158" s="4">
        <v>46017</v>
      </c>
      <c r="B158" s="5">
        <v>15</v>
      </c>
      <c r="C158" s="5">
        <v>4</v>
      </c>
      <c r="D158" s="5">
        <v>1409</v>
      </c>
      <c r="E158" s="5">
        <v>30</v>
      </c>
      <c r="F158" s="3">
        <v>85857</v>
      </c>
      <c r="G158" s="7">
        <v>248.38630000000001</v>
      </c>
      <c r="H158">
        <v>19</v>
      </c>
    </row>
    <row r="159" spans="1:8">
      <c r="A159" s="4">
        <v>46018</v>
      </c>
      <c r="B159" s="5">
        <v>10</v>
      </c>
      <c r="C159" s="5">
        <v>2</v>
      </c>
      <c r="D159" s="5">
        <v>656</v>
      </c>
      <c r="E159" s="5">
        <v>17</v>
      </c>
      <c r="F159" s="3">
        <v>61313</v>
      </c>
      <c r="G159" s="7">
        <v>165.5573</v>
      </c>
      <c r="H159">
        <v>17</v>
      </c>
    </row>
    <row r="160" spans="1:8">
      <c r="A160" s="4">
        <v>46019</v>
      </c>
      <c r="B160" s="5">
        <v>15</v>
      </c>
      <c r="C160" s="5">
        <v>2</v>
      </c>
      <c r="D160" s="5">
        <v>701</v>
      </c>
      <c r="E160" s="5">
        <v>15</v>
      </c>
      <c r="F160" s="3">
        <v>71331</v>
      </c>
      <c r="G160" s="7">
        <v>188.46889999999999</v>
      </c>
      <c r="H160">
        <v>17</v>
      </c>
    </row>
    <row r="161" spans="1:9">
      <c r="A161" s="4">
        <v>46020</v>
      </c>
      <c r="B161" s="5">
        <v>31</v>
      </c>
      <c r="C161" s="5">
        <v>7</v>
      </c>
      <c r="D161" s="5">
        <v>955</v>
      </c>
      <c r="E161" s="5">
        <v>74</v>
      </c>
      <c r="F161" s="3">
        <v>73077</v>
      </c>
      <c r="G161" s="7">
        <v>210.22229999999999</v>
      </c>
      <c r="H161">
        <v>19</v>
      </c>
    </row>
    <row r="162" spans="1:9">
      <c r="A162" s="4">
        <v>46021</v>
      </c>
      <c r="B162" s="5">
        <v>43</v>
      </c>
      <c r="C162" s="5">
        <v>9</v>
      </c>
      <c r="D162" s="5">
        <v>715</v>
      </c>
      <c r="E162" s="5">
        <v>64</v>
      </c>
      <c r="F162" s="3">
        <v>74650</v>
      </c>
      <c r="G162" s="7">
        <v>196.1327</v>
      </c>
      <c r="H162">
        <v>18</v>
      </c>
    </row>
    <row r="163" spans="1:9">
      <c r="A163" s="4">
        <v>46022</v>
      </c>
      <c r="B163" s="5">
        <v>39</v>
      </c>
      <c r="C163" s="5">
        <v>6</v>
      </c>
      <c r="D163" s="5">
        <v>732</v>
      </c>
      <c r="E163" s="5">
        <v>8</v>
      </c>
      <c r="F163" s="3">
        <v>39086</v>
      </c>
      <c r="G163" s="7">
        <v>130.6925</v>
      </c>
      <c r="H163">
        <v>22</v>
      </c>
    </row>
    <row r="164" spans="1:9">
      <c r="A164" s="4">
        <v>46023</v>
      </c>
      <c r="B164" s="5">
        <v>17</v>
      </c>
      <c r="C164" s="5">
        <v>2</v>
      </c>
      <c r="D164" s="5">
        <v>582</v>
      </c>
      <c r="E164" s="5">
        <v>2</v>
      </c>
      <c r="F164" s="3">
        <v>37546</v>
      </c>
      <c r="G164" s="7">
        <v>111.4289</v>
      </c>
      <c r="H164">
        <v>19</v>
      </c>
    </row>
    <row r="165" spans="1:9">
      <c r="A165" s="4">
        <v>46024</v>
      </c>
      <c r="B165" s="5">
        <v>6</v>
      </c>
      <c r="C165" s="5">
        <v>3</v>
      </c>
      <c r="D165" s="5">
        <v>212</v>
      </c>
      <c r="E165" s="5">
        <v>10</v>
      </c>
      <c r="F165" s="3">
        <v>16410</v>
      </c>
      <c r="G165" s="7">
        <v>51.958399999999997</v>
      </c>
      <c r="H165">
        <v>20</v>
      </c>
    </row>
    <row r="166" spans="1:9">
      <c r="A166" s="4">
        <v>46025</v>
      </c>
      <c r="B166" s="5">
        <v>16</v>
      </c>
      <c r="C166" s="5">
        <v>3</v>
      </c>
      <c r="D166" s="5">
        <v>740</v>
      </c>
      <c r="E166" s="5">
        <v>30</v>
      </c>
      <c r="F166" s="3">
        <v>31921</v>
      </c>
      <c r="G166" s="7">
        <v>126.8755</v>
      </c>
      <c r="H166">
        <v>25</v>
      </c>
    </row>
    <row r="167" spans="1:9">
      <c r="A167" s="4">
        <v>46026</v>
      </c>
      <c r="B167" s="5">
        <v>17</v>
      </c>
      <c r="C167" s="5">
        <v>6</v>
      </c>
      <c r="D167" s="5">
        <v>505</v>
      </c>
      <c r="E167" s="5">
        <v>30</v>
      </c>
      <c r="F167" s="3">
        <v>37369</v>
      </c>
      <c r="G167" s="7">
        <v>118.2274</v>
      </c>
      <c r="H167">
        <v>20</v>
      </c>
    </row>
    <row r="168" spans="1:9">
      <c r="A168" s="4">
        <v>46027</v>
      </c>
      <c r="B168" s="5">
        <v>72</v>
      </c>
      <c r="C168" s="5">
        <v>6</v>
      </c>
      <c r="D168" s="5">
        <v>927</v>
      </c>
      <c r="E168" s="5">
        <v>68</v>
      </c>
      <c r="F168" s="3">
        <v>81484</v>
      </c>
      <c r="G168" s="7">
        <v>228.24639999999999</v>
      </c>
      <c r="H168">
        <v>20</v>
      </c>
    </row>
    <row r="169" spans="1:9">
      <c r="A169" s="4">
        <v>46028</v>
      </c>
      <c r="B169" s="5">
        <v>12</v>
      </c>
      <c r="C169" s="5">
        <v>1</v>
      </c>
      <c r="D169" s="5">
        <v>332</v>
      </c>
      <c r="E169" s="5">
        <v>-3</v>
      </c>
      <c r="F169" s="3">
        <v>19039</v>
      </c>
      <c r="G169" s="7">
        <v>56.947899999999997</v>
      </c>
      <c r="H169">
        <v>19</v>
      </c>
    </row>
    <row r="170" spans="1:9">
      <c r="A170" s="4">
        <v>46029</v>
      </c>
      <c r="B170" s="5">
        <v>35</v>
      </c>
      <c r="C170" s="5">
        <v>3</v>
      </c>
      <c r="D170" s="5">
        <v>1085</v>
      </c>
      <c r="E170" s="5">
        <v>40</v>
      </c>
      <c r="F170" s="3">
        <v>62001</v>
      </c>
      <c r="G170" s="7">
        <v>189.1635</v>
      </c>
      <c r="H170">
        <v>20</v>
      </c>
    </row>
    <row r="171" spans="1:9">
      <c r="A171" s="4">
        <v>46030</v>
      </c>
      <c r="B171" s="5">
        <v>15</v>
      </c>
      <c r="C171" s="5">
        <v>0</v>
      </c>
      <c r="D171" s="5">
        <v>553</v>
      </c>
      <c r="E171" s="5">
        <v>16</v>
      </c>
      <c r="F171" s="3">
        <v>34639</v>
      </c>
      <c r="G171" s="7">
        <v>103.9949</v>
      </c>
      <c r="H171">
        <v>20</v>
      </c>
    </row>
    <row r="172" spans="1:9">
      <c r="A172" s="4">
        <v>46031</v>
      </c>
      <c r="B172" s="5">
        <v>14</v>
      </c>
      <c r="C172" s="5">
        <v>4</v>
      </c>
      <c r="D172" s="5">
        <v>821</v>
      </c>
      <c r="E172" s="5">
        <v>37</v>
      </c>
      <c r="F172" s="3">
        <v>46258</v>
      </c>
      <c r="G172" s="7">
        <v>150.0461</v>
      </c>
      <c r="H172">
        <v>20</v>
      </c>
    </row>
    <row r="173" spans="1:9">
      <c r="A173" s="4">
        <v>46032</v>
      </c>
      <c r="B173" s="5">
        <v>43</v>
      </c>
      <c r="C173" s="5">
        <v>7</v>
      </c>
      <c r="D173" s="5">
        <v>1547</v>
      </c>
      <c r="E173" s="5">
        <v>45</v>
      </c>
      <c r="F173" s="3">
        <v>49644</v>
      </c>
      <c r="G173" s="7">
        <v>157.33699999999999</v>
      </c>
      <c r="H173">
        <v>21</v>
      </c>
    </row>
    <row r="174" spans="1:9">
      <c r="A174" s="4">
        <v>46033</v>
      </c>
      <c r="B174" s="5">
        <v>61</v>
      </c>
      <c r="C174" s="5">
        <v>6</v>
      </c>
      <c r="D174" s="5">
        <v>918</v>
      </c>
      <c r="E174" s="5">
        <v>5</v>
      </c>
      <c r="F174" s="3">
        <v>59402</v>
      </c>
      <c r="G174" s="7">
        <v>166.34569999999999</v>
      </c>
      <c r="H174">
        <v>19</v>
      </c>
    </row>
    <row r="175" spans="1:9">
      <c r="A175" s="4">
        <v>46034</v>
      </c>
      <c r="B175" s="5">
        <v>17</v>
      </c>
      <c r="C175" s="5">
        <v>2</v>
      </c>
      <c r="D175" s="5">
        <v>204</v>
      </c>
      <c r="E175" s="5">
        <v>6</v>
      </c>
      <c r="F175" s="3">
        <v>21137</v>
      </c>
      <c r="G175" s="7">
        <v>54.6355</v>
      </c>
      <c r="H175">
        <v>18</v>
      </c>
    </row>
    <row r="176" spans="1:9">
      <c r="A176" s="4">
        <v>46035</v>
      </c>
      <c r="B176" s="5">
        <v>30</v>
      </c>
      <c r="C176" s="5">
        <v>4</v>
      </c>
      <c r="D176" s="5">
        <v>758</v>
      </c>
      <c r="E176" s="5">
        <v>31</v>
      </c>
      <c r="F176" s="3">
        <v>34742</v>
      </c>
      <c r="G176" s="7">
        <v>108.89239999999999</v>
      </c>
      <c r="H176">
        <v>20</v>
      </c>
      <c r="I176">
        <v>1.3720000000000001</v>
      </c>
    </row>
    <row r="177" spans="1:9">
      <c r="A177" s="4">
        <v>46036</v>
      </c>
      <c r="B177" s="5">
        <v>13</v>
      </c>
      <c r="C177" s="5">
        <v>3</v>
      </c>
      <c r="D177" s="5">
        <v>358</v>
      </c>
      <c r="E177" s="5">
        <v>6</v>
      </c>
      <c r="F177" s="3">
        <v>14648</v>
      </c>
      <c r="G177" s="7">
        <v>45.483699999999999</v>
      </c>
      <c r="H177">
        <v>20</v>
      </c>
      <c r="I177">
        <v>0.63900000000000001</v>
      </c>
    </row>
    <row r="178" spans="1:9">
      <c r="A178" s="4">
        <v>46037</v>
      </c>
      <c r="B178" s="5">
        <v>1</v>
      </c>
      <c r="C178" s="5">
        <v>1</v>
      </c>
      <c r="D178" s="5">
        <v>154</v>
      </c>
      <c r="E178" s="5">
        <v>7</v>
      </c>
      <c r="F178" s="3">
        <v>4330</v>
      </c>
      <c r="G178" s="7">
        <v>12.476100000000001</v>
      </c>
      <c r="H178">
        <v>18</v>
      </c>
      <c r="I178">
        <v>0.16400000000000001</v>
      </c>
    </row>
    <row r="179" spans="1:9">
      <c r="A179" s="4">
        <v>46038</v>
      </c>
      <c r="B179" s="5">
        <v>4</v>
      </c>
      <c r="C179" s="5">
        <v>0</v>
      </c>
      <c r="D179" s="5">
        <v>13</v>
      </c>
      <c r="E179" s="5">
        <v>-3</v>
      </c>
      <c r="F179" s="3">
        <v>3416</v>
      </c>
      <c r="G179" s="7">
        <v>10.687799999999999</v>
      </c>
      <c r="H179">
        <v>19</v>
      </c>
      <c r="I179">
        <v>8.5999999999999993E-2</v>
      </c>
    </row>
    <row r="180" spans="1:9">
      <c r="A180" s="4">
        <v>46039</v>
      </c>
      <c r="B180" s="5">
        <v>1</v>
      </c>
      <c r="C180" s="5">
        <v>0</v>
      </c>
      <c r="D180" s="5">
        <v>-9</v>
      </c>
      <c r="E180" s="5">
        <v>-1</v>
      </c>
      <c r="F180" s="3">
        <v>477</v>
      </c>
      <c r="G180" s="7">
        <v>1.3801000000000001</v>
      </c>
      <c r="H180">
        <v>17</v>
      </c>
      <c r="I180">
        <v>1.6E-2</v>
      </c>
    </row>
    <row r="181" spans="1:9">
      <c r="A181" s="4">
        <v>46040</v>
      </c>
      <c r="B181" s="5">
        <v>0</v>
      </c>
      <c r="C181" s="5">
        <v>0</v>
      </c>
      <c r="D181" s="5">
        <v>-61</v>
      </c>
      <c r="E181" s="5">
        <v>0</v>
      </c>
      <c r="F181" s="3">
        <v>0</v>
      </c>
      <c r="G181" s="7">
        <v>0</v>
      </c>
    </row>
    <row r="182" spans="1:9">
      <c r="A182" s="4">
        <v>46041</v>
      </c>
      <c r="B182" s="5">
        <v>0</v>
      </c>
      <c r="C182" s="5">
        <v>0</v>
      </c>
      <c r="D182" s="5">
        <v>-18</v>
      </c>
      <c r="E182" s="5">
        <v>-5</v>
      </c>
      <c r="F182" s="3">
        <v>0</v>
      </c>
      <c r="G182" s="7">
        <v>0</v>
      </c>
    </row>
    <row r="183" spans="1:9">
      <c r="A183" s="4">
        <v>46042</v>
      </c>
      <c r="B183" s="5">
        <v>0</v>
      </c>
      <c r="C183" s="5">
        <v>0</v>
      </c>
      <c r="D183" s="5">
        <v>-14</v>
      </c>
      <c r="E183" s="5">
        <v>-2</v>
      </c>
      <c r="F183" s="3">
        <v>2</v>
      </c>
      <c r="G183" s="7">
        <v>0</v>
      </c>
    </row>
    <row r="184" spans="1:9">
      <c r="A184" s="4">
        <v>46043</v>
      </c>
      <c r="B184" s="5">
        <v>0</v>
      </c>
      <c r="C184" s="5">
        <v>0</v>
      </c>
      <c r="D184" s="5">
        <v>-5</v>
      </c>
      <c r="E184" s="5">
        <v>-1</v>
      </c>
      <c r="F184" s="3">
        <v>180</v>
      </c>
      <c r="G184" s="7">
        <v>0.48649999999999999</v>
      </c>
      <c r="H184">
        <v>18</v>
      </c>
      <c r="I184">
        <v>4.0000000000000001E-3</v>
      </c>
    </row>
    <row r="185" spans="1:9">
      <c r="A185" s="4">
        <v>46044</v>
      </c>
      <c r="B185" s="5">
        <v>0</v>
      </c>
      <c r="C185" s="5">
        <v>0</v>
      </c>
      <c r="D185" s="5">
        <v>7</v>
      </c>
      <c r="E185" s="5">
        <v>-1</v>
      </c>
      <c r="F185" s="3">
        <v>294</v>
      </c>
      <c r="G185" s="7">
        <v>0.71499999999999997</v>
      </c>
      <c r="H185">
        <v>16</v>
      </c>
    </row>
    <row r="186" spans="1:9">
      <c r="A186" s="4">
        <v>46045</v>
      </c>
      <c r="B186" s="5">
        <v>1</v>
      </c>
      <c r="C186" s="5">
        <v>0</v>
      </c>
      <c r="D186" s="5">
        <v>-12</v>
      </c>
      <c r="E186" s="5">
        <v>0</v>
      </c>
      <c r="F186" s="3">
        <v>285</v>
      </c>
      <c r="G186" s="7">
        <v>0.77100000000000002</v>
      </c>
      <c r="H186">
        <v>17</v>
      </c>
    </row>
    <row r="187" spans="1:9">
      <c r="A187" s="4">
        <v>46046</v>
      </c>
      <c r="B187" s="5">
        <v>0</v>
      </c>
      <c r="C187" s="5">
        <v>0</v>
      </c>
      <c r="D187" s="5">
        <v>-5</v>
      </c>
      <c r="E187" s="5">
        <v>-2</v>
      </c>
      <c r="F187" s="3">
        <v>402</v>
      </c>
      <c r="G187" s="7">
        <v>1.0529999999999999</v>
      </c>
      <c r="H187">
        <v>19</v>
      </c>
    </row>
    <row r="188" spans="1:9">
      <c r="A188" s="4">
        <v>46047</v>
      </c>
      <c r="B188" s="5">
        <v>0</v>
      </c>
      <c r="C188" s="5">
        <v>0</v>
      </c>
      <c r="D188" s="5">
        <v>-47</v>
      </c>
      <c r="E188" s="5">
        <v>-4</v>
      </c>
      <c r="F188" s="3">
        <v>461</v>
      </c>
      <c r="G188" s="7">
        <v>1.2632000000000001</v>
      </c>
      <c r="H188">
        <v>19</v>
      </c>
    </row>
    <row r="189" spans="1:9">
      <c r="A189" s="4">
        <v>46048</v>
      </c>
      <c r="B189" s="5">
        <v>1</v>
      </c>
      <c r="C189" s="5">
        <v>0</v>
      </c>
      <c r="D189" s="5">
        <v>-22</v>
      </c>
      <c r="E189" s="5">
        <v>1</v>
      </c>
      <c r="F189" s="3">
        <v>392</v>
      </c>
      <c r="G189" s="7">
        <v>1.0145</v>
      </c>
      <c r="H189">
        <v>18</v>
      </c>
    </row>
    <row r="190" spans="1:9">
      <c r="A190" s="4">
        <v>46049</v>
      </c>
      <c r="B190" s="5">
        <v>0</v>
      </c>
      <c r="C190" s="5">
        <v>0</v>
      </c>
      <c r="D190" s="5">
        <v>-4</v>
      </c>
      <c r="E190" s="5">
        <v>-15</v>
      </c>
      <c r="F190" s="3">
        <v>388</v>
      </c>
      <c r="G190" s="7">
        <v>1.0162</v>
      </c>
      <c r="H190">
        <v>17</v>
      </c>
    </row>
    <row r="191" spans="1:9">
      <c r="A191" s="4">
        <v>46050</v>
      </c>
      <c r="B191" s="5">
        <v>0</v>
      </c>
      <c r="C191" s="5">
        <v>0</v>
      </c>
      <c r="D191" s="5">
        <v>-6</v>
      </c>
      <c r="E191" s="5">
        <v>-24</v>
      </c>
      <c r="F191" s="3">
        <v>412</v>
      </c>
      <c r="G191" s="7">
        <v>1.2092000000000001</v>
      </c>
      <c r="H191">
        <v>19</v>
      </c>
    </row>
    <row r="192" spans="1:9">
      <c r="A192" s="4">
        <v>46051</v>
      </c>
      <c r="B192" s="5">
        <v>0</v>
      </c>
      <c r="C192" s="5">
        <v>0</v>
      </c>
      <c r="D192" s="5">
        <v>-86</v>
      </c>
      <c r="E192" s="5">
        <v>-12</v>
      </c>
      <c r="F192" s="3">
        <v>418</v>
      </c>
      <c r="G192" s="7">
        <v>1.1537999999999999</v>
      </c>
      <c r="H192">
        <v>17</v>
      </c>
    </row>
    <row r="193" spans="1:8">
      <c r="A193" s="4">
        <v>46052</v>
      </c>
      <c r="B193" s="5">
        <v>0</v>
      </c>
      <c r="C193" s="5">
        <v>0</v>
      </c>
      <c r="D193" s="5">
        <v>-189</v>
      </c>
      <c r="E193" s="5">
        <v>-12</v>
      </c>
      <c r="F193" s="3">
        <v>373</v>
      </c>
      <c r="G193" s="7">
        <v>1.0279</v>
      </c>
      <c r="H193">
        <v>18</v>
      </c>
    </row>
    <row r="194" spans="1:8">
      <c r="A194" s="4">
        <v>46053</v>
      </c>
      <c r="B194" s="5">
        <v>1</v>
      </c>
      <c r="C194" s="5">
        <v>0</v>
      </c>
      <c r="D194" s="5">
        <v>-44</v>
      </c>
      <c r="E194" s="5">
        <v>-6</v>
      </c>
      <c r="F194" s="3">
        <v>376</v>
      </c>
      <c r="G194" s="7">
        <v>1.0004</v>
      </c>
      <c r="H194">
        <v>17</v>
      </c>
    </row>
    <row r="195" spans="1:8">
      <c r="A195" s="4">
        <v>46054</v>
      </c>
      <c r="B195" s="5">
        <v>0</v>
      </c>
      <c r="C195" s="5">
        <v>0</v>
      </c>
      <c r="D195" s="5">
        <v>-15</v>
      </c>
      <c r="E195" s="5">
        <v>-5</v>
      </c>
      <c r="F195" s="3">
        <v>311</v>
      </c>
      <c r="G195" s="7">
        <v>0.86080000000000001</v>
      </c>
      <c r="H195">
        <v>19</v>
      </c>
    </row>
    <row r="196" spans="1:8">
      <c r="A196" s="4">
        <v>46055</v>
      </c>
      <c r="B196" s="5">
        <v>0</v>
      </c>
      <c r="C196" s="5">
        <v>0</v>
      </c>
      <c r="D196" s="5">
        <v>-14</v>
      </c>
      <c r="E196" s="5">
        <v>1</v>
      </c>
      <c r="F196" s="3">
        <v>243</v>
      </c>
      <c r="G196" s="7">
        <v>0.66720000000000002</v>
      </c>
      <c r="H196">
        <v>20</v>
      </c>
    </row>
    <row r="197" spans="1:8">
      <c r="A197" s="4">
        <v>46056</v>
      </c>
      <c r="B197" s="5">
        <v>6</v>
      </c>
      <c r="C197" s="5">
        <v>1</v>
      </c>
      <c r="D197" s="5">
        <v>-80</v>
      </c>
      <c r="E197" s="5">
        <v>0</v>
      </c>
      <c r="F197" s="3">
        <v>287</v>
      </c>
      <c r="G197" s="7">
        <v>0.8266</v>
      </c>
      <c r="H197">
        <v>20</v>
      </c>
    </row>
    <row r="198" spans="1:8">
      <c r="A198" s="4">
        <v>46057</v>
      </c>
      <c r="B198" s="5">
        <v>0</v>
      </c>
      <c r="C198" s="5">
        <v>0</v>
      </c>
      <c r="D198" s="5">
        <v>-23</v>
      </c>
      <c r="E198" s="5">
        <v>-7</v>
      </c>
      <c r="F198" s="3">
        <v>315</v>
      </c>
      <c r="G198" s="7">
        <v>0.82369999999999999</v>
      </c>
      <c r="H198">
        <v>17</v>
      </c>
    </row>
    <row r="199" spans="1:8">
      <c r="A199" s="4">
        <v>46058</v>
      </c>
      <c r="B199" s="5">
        <v>1</v>
      </c>
      <c r="C199" s="5">
        <v>0</v>
      </c>
      <c r="D199" s="5">
        <v>-13</v>
      </c>
      <c r="E199" s="5">
        <v>-4</v>
      </c>
      <c r="F199" s="3">
        <v>415</v>
      </c>
      <c r="G199" s="7">
        <v>1.1449</v>
      </c>
      <c r="H199">
        <v>19</v>
      </c>
    </row>
    <row r="200" spans="1:8">
      <c r="A200" s="4">
        <v>46059</v>
      </c>
      <c r="B200" s="5">
        <v>2</v>
      </c>
      <c r="C200" s="5">
        <v>0</v>
      </c>
      <c r="D200" s="5">
        <v>-13</v>
      </c>
      <c r="E200" s="5">
        <v>-1</v>
      </c>
      <c r="F200" s="3">
        <v>418</v>
      </c>
      <c r="G200" s="7">
        <v>1.0839000000000001</v>
      </c>
      <c r="H200">
        <v>18</v>
      </c>
    </row>
    <row r="201" spans="1:8">
      <c r="A201" s="4">
        <v>46060</v>
      </c>
      <c r="B201" s="5">
        <v>2</v>
      </c>
      <c r="C201" s="5">
        <v>1</v>
      </c>
      <c r="D201" s="5">
        <v>-27</v>
      </c>
      <c r="E201" s="5">
        <v>-6</v>
      </c>
      <c r="F201" s="3">
        <v>458</v>
      </c>
      <c r="G201" s="7">
        <v>1.8095000000000001</v>
      </c>
      <c r="H201">
        <v>30</v>
      </c>
    </row>
    <row r="202" spans="1:8">
      <c r="A202" s="4">
        <v>46061</v>
      </c>
      <c r="B202" s="5">
        <v>0</v>
      </c>
      <c r="C202" s="5">
        <v>0</v>
      </c>
      <c r="D202" s="5">
        <v>-22</v>
      </c>
      <c r="E202" s="5">
        <v>-3</v>
      </c>
      <c r="F202" s="3">
        <v>343</v>
      </c>
      <c r="G202" s="7">
        <v>1.9333</v>
      </c>
      <c r="H202">
        <v>41</v>
      </c>
    </row>
    <row r="203" spans="1:8">
      <c r="A203" s="4">
        <v>46062</v>
      </c>
      <c r="B203" s="5">
        <v>1</v>
      </c>
      <c r="C203" s="5">
        <v>0</v>
      </c>
      <c r="D203" s="5">
        <v>-5</v>
      </c>
      <c r="E203" s="5">
        <v>-4</v>
      </c>
      <c r="F203" s="3">
        <v>344</v>
      </c>
      <c r="G203" s="7">
        <v>0.86629999999999996</v>
      </c>
      <c r="H203">
        <v>16</v>
      </c>
    </row>
    <row r="204" spans="1:8">
      <c r="A204" s="4">
        <v>46063</v>
      </c>
      <c r="B204" s="5">
        <v>0</v>
      </c>
      <c r="C204" s="5">
        <v>1</v>
      </c>
      <c r="D204" s="5">
        <v>-7</v>
      </c>
      <c r="E204" s="5">
        <v>-6</v>
      </c>
      <c r="F204" s="3">
        <v>406</v>
      </c>
      <c r="G204" s="7">
        <v>1.1603000000000001</v>
      </c>
      <c r="H204">
        <v>21</v>
      </c>
    </row>
    <row r="205" spans="1:8">
      <c r="A205" s="4">
        <v>46064</v>
      </c>
      <c r="B205" s="5">
        <v>0</v>
      </c>
      <c r="C205" s="5">
        <v>0</v>
      </c>
      <c r="D205" s="5">
        <v>-26</v>
      </c>
      <c r="E205" s="5">
        <v>2</v>
      </c>
      <c r="F205" s="3">
        <v>467</v>
      </c>
      <c r="G205" s="7">
        <v>1.1375999999999999</v>
      </c>
      <c r="H205">
        <v>18</v>
      </c>
    </row>
    <row r="206" spans="1:8">
      <c r="A206" s="4">
        <v>46065</v>
      </c>
      <c r="B206" s="5">
        <v>0</v>
      </c>
      <c r="C206" s="5">
        <v>0</v>
      </c>
      <c r="D206" s="5">
        <v>-13</v>
      </c>
      <c r="E206" s="5">
        <v>-2</v>
      </c>
      <c r="F206" s="3">
        <v>393</v>
      </c>
      <c r="G206" s="7">
        <v>1.0306999999999999</v>
      </c>
      <c r="H206">
        <v>18</v>
      </c>
    </row>
    <row r="207" spans="1:8">
      <c r="A207" s="4">
        <v>46066</v>
      </c>
      <c r="B207" s="5">
        <v>0</v>
      </c>
      <c r="C207" s="5">
        <v>0</v>
      </c>
      <c r="D207" s="5">
        <v>-1</v>
      </c>
      <c r="E207" s="5">
        <v>0</v>
      </c>
      <c r="F207" s="3">
        <v>475</v>
      </c>
      <c r="G207" s="7">
        <v>1.3984000000000001</v>
      </c>
      <c r="H207">
        <v>20</v>
      </c>
    </row>
    <row r="208" spans="1:8">
      <c r="A208" s="4">
        <v>46067</v>
      </c>
      <c r="B208" s="5">
        <v>0</v>
      </c>
      <c r="C208" s="5">
        <v>0</v>
      </c>
      <c r="D208" s="5">
        <v>-8</v>
      </c>
      <c r="E208" s="5">
        <v>-30</v>
      </c>
      <c r="F208" s="3">
        <v>470</v>
      </c>
      <c r="G208" s="7">
        <v>1.1933</v>
      </c>
      <c r="H208">
        <v>17</v>
      </c>
    </row>
    <row r="209" spans="1:8">
      <c r="A209" s="4">
        <v>46068</v>
      </c>
      <c r="B209" s="5">
        <v>0</v>
      </c>
      <c r="C209" s="5">
        <v>0</v>
      </c>
      <c r="D209" s="5">
        <v>-41</v>
      </c>
      <c r="E209" s="5">
        <v>-3</v>
      </c>
      <c r="F209" s="3">
        <v>368</v>
      </c>
      <c r="G209" s="7">
        <v>0.91269999999999996</v>
      </c>
      <c r="H209">
        <v>16</v>
      </c>
    </row>
    <row r="210" spans="1:8">
      <c r="A210" s="4">
        <v>46069</v>
      </c>
      <c r="B210" s="5">
        <v>0</v>
      </c>
      <c r="C210" s="5">
        <v>0</v>
      </c>
      <c r="D210" s="5">
        <v>-187</v>
      </c>
      <c r="E210" s="5">
        <v>-4</v>
      </c>
      <c r="F210" s="3">
        <v>335</v>
      </c>
      <c r="G210" s="7">
        <v>0.9133</v>
      </c>
      <c r="H210">
        <v>18</v>
      </c>
    </row>
    <row r="211" spans="1:8">
      <c r="A211" s="4">
        <v>46070</v>
      </c>
      <c r="B211" s="5">
        <v>1</v>
      </c>
      <c r="C211" s="5">
        <v>0</v>
      </c>
      <c r="D211" s="5">
        <v>-22</v>
      </c>
      <c r="E211" s="5">
        <v>-2</v>
      </c>
      <c r="F211" s="3">
        <v>303</v>
      </c>
      <c r="G211" s="7">
        <v>0.81159999999999999</v>
      </c>
      <c r="H211">
        <v>18</v>
      </c>
    </row>
    <row r="212" spans="1:8">
      <c r="A212" s="4">
        <v>46071</v>
      </c>
      <c r="B212" s="5">
        <v>0</v>
      </c>
      <c r="C212" s="5">
        <v>0</v>
      </c>
      <c r="D212" s="5">
        <v>-22</v>
      </c>
      <c r="E212" s="5">
        <v>-3</v>
      </c>
      <c r="F212" s="3">
        <v>332</v>
      </c>
      <c r="G212" s="7">
        <v>0.97660000000000002</v>
      </c>
      <c r="H212">
        <v>21</v>
      </c>
    </row>
    <row r="213" spans="1:8">
      <c r="A213" s="4">
        <v>46072</v>
      </c>
      <c r="B213" s="5">
        <v>0</v>
      </c>
      <c r="C213" s="5">
        <v>0</v>
      </c>
      <c r="D213" s="5">
        <v>-12</v>
      </c>
      <c r="E213" s="5">
        <v>-16</v>
      </c>
      <c r="F213" s="3">
        <v>379</v>
      </c>
      <c r="G213" s="7">
        <v>0.93220000000000003</v>
      </c>
      <c r="H213">
        <v>17</v>
      </c>
    </row>
    <row r="214" spans="1:8">
      <c r="A214" s="4">
        <v>46073</v>
      </c>
      <c r="B214" s="5">
        <v>0</v>
      </c>
      <c r="C214" s="5">
        <v>0</v>
      </c>
      <c r="D214" s="5">
        <v>-48</v>
      </c>
      <c r="E214" s="5">
        <v>-2</v>
      </c>
      <c r="F214" s="3">
        <v>358</v>
      </c>
      <c r="G214" s="7">
        <v>0.91349999999999998</v>
      </c>
      <c r="H214">
        <v>17</v>
      </c>
    </row>
    <row r="215" spans="1:8">
      <c r="A215" s="4">
        <v>46074</v>
      </c>
      <c r="B215" s="5">
        <v>0</v>
      </c>
      <c r="C215" s="5">
        <v>0</v>
      </c>
      <c r="D215" s="5">
        <v>-104</v>
      </c>
      <c r="E215" s="5">
        <v>-4</v>
      </c>
      <c r="F215" s="3">
        <v>449</v>
      </c>
      <c r="G215" s="7">
        <v>1.2863</v>
      </c>
      <c r="H215">
        <v>18</v>
      </c>
    </row>
    <row r="216" spans="1:8">
      <c r="A216" s="4">
        <v>46075</v>
      </c>
      <c r="B216" s="5">
        <v>0</v>
      </c>
      <c r="C216" s="5">
        <v>0</v>
      </c>
      <c r="D216" s="5">
        <v>-9</v>
      </c>
      <c r="E216" s="5">
        <v>-5</v>
      </c>
      <c r="F216" s="3">
        <v>332</v>
      </c>
      <c r="G216" s="7">
        <v>1.9475</v>
      </c>
      <c r="H216">
        <v>41</v>
      </c>
    </row>
    <row r="217" spans="1:8">
      <c r="A217" s="4">
        <v>46076</v>
      </c>
      <c r="B217" s="5">
        <v>0</v>
      </c>
      <c r="C217" s="5">
        <v>0</v>
      </c>
      <c r="D217" s="5">
        <v>-53</v>
      </c>
      <c r="E217" s="5">
        <v>-8</v>
      </c>
      <c r="F217" s="3">
        <v>283</v>
      </c>
      <c r="G217" s="7">
        <v>0.77200000000000002</v>
      </c>
      <c r="H217">
        <v>19</v>
      </c>
    </row>
    <row r="218" spans="1:8">
      <c r="A218" s="4">
        <v>46077</v>
      </c>
      <c r="B218" s="5">
        <v>0</v>
      </c>
      <c r="C218" s="5">
        <v>0</v>
      </c>
      <c r="D218" s="5">
        <v>-18</v>
      </c>
      <c r="E218" s="5">
        <v>1</v>
      </c>
      <c r="F218" s="3">
        <v>310</v>
      </c>
      <c r="G218" s="7">
        <v>0.80189999999999995</v>
      </c>
      <c r="H218">
        <v>16</v>
      </c>
    </row>
    <row r="219" spans="1:8">
      <c r="A219" s="4">
        <v>46078</v>
      </c>
      <c r="B219" s="5">
        <v>0</v>
      </c>
      <c r="C219" s="5">
        <v>0</v>
      </c>
      <c r="D219" s="5">
        <v>-10</v>
      </c>
      <c r="E219" s="5">
        <v>-2</v>
      </c>
      <c r="F219" s="3">
        <v>423</v>
      </c>
      <c r="G219" s="7">
        <v>1.0858000000000001</v>
      </c>
      <c r="H219">
        <v>17</v>
      </c>
    </row>
    <row r="220" spans="1:8">
      <c r="A220" s="4">
        <v>46079</v>
      </c>
      <c r="B220" s="5">
        <v>0</v>
      </c>
      <c r="C220" s="5">
        <v>0</v>
      </c>
      <c r="D220" s="5">
        <v>-48</v>
      </c>
      <c r="E220" s="5">
        <v>-5</v>
      </c>
      <c r="F220" s="3">
        <v>548</v>
      </c>
      <c r="G220" s="7">
        <v>1.5553999999999999</v>
      </c>
      <c r="H220">
        <v>18</v>
      </c>
    </row>
    <row r="221" spans="1:8">
      <c r="A221" s="4">
        <v>46080</v>
      </c>
      <c r="B221" s="5">
        <v>0</v>
      </c>
      <c r="C221" s="5">
        <v>0</v>
      </c>
      <c r="D221" s="5">
        <v>-28</v>
      </c>
      <c r="E221" s="5">
        <v>0</v>
      </c>
      <c r="F221" s="3">
        <v>568</v>
      </c>
      <c r="G221" s="7">
        <v>1.5608</v>
      </c>
      <c r="H221">
        <v>19</v>
      </c>
    </row>
    <row r="222" spans="1:8">
      <c r="A222" s="4">
        <v>46081</v>
      </c>
      <c r="B222" s="5">
        <v>0</v>
      </c>
      <c r="C222" s="5">
        <v>0</v>
      </c>
      <c r="D222" s="5">
        <v>-38</v>
      </c>
      <c r="E222" s="5">
        <v>-2</v>
      </c>
      <c r="F222" s="3">
        <v>368</v>
      </c>
      <c r="G222" s="7">
        <v>1.0611999999999999</v>
      </c>
      <c r="H222">
        <v>19</v>
      </c>
    </row>
    <row r="223" spans="1:8">
      <c r="A223" s="4">
        <v>46082</v>
      </c>
      <c r="B223" s="5">
        <v>0</v>
      </c>
      <c r="C223" s="5">
        <v>0</v>
      </c>
      <c r="D223" s="5">
        <v>-35</v>
      </c>
      <c r="E223" s="5">
        <v>-7</v>
      </c>
      <c r="F223" s="3">
        <v>362</v>
      </c>
      <c r="G223" s="7">
        <v>1.6060000000000001</v>
      </c>
      <c r="H223">
        <v>27</v>
      </c>
    </row>
    <row r="224" spans="1:8">
      <c r="A224" s="4">
        <v>46083</v>
      </c>
      <c r="B224" s="5">
        <v>0</v>
      </c>
      <c r="C224" s="5">
        <v>0</v>
      </c>
      <c r="D224" s="5">
        <v>-10</v>
      </c>
      <c r="E224" s="5">
        <v>-4</v>
      </c>
      <c r="F224" s="3">
        <v>325</v>
      </c>
      <c r="G224" s="7">
        <v>0.92290000000000005</v>
      </c>
      <c r="H224">
        <v>18</v>
      </c>
    </row>
    <row r="225" spans="1:8">
      <c r="A225" s="4">
        <v>46084</v>
      </c>
      <c r="B225" s="5">
        <v>0</v>
      </c>
      <c r="C225" s="5">
        <v>0</v>
      </c>
      <c r="D225" s="5">
        <v>-37</v>
      </c>
      <c r="E225" s="5">
        <v>-7</v>
      </c>
      <c r="F225" s="3">
        <v>326</v>
      </c>
      <c r="G225" s="7">
        <v>0.93159999999999998</v>
      </c>
      <c r="H225">
        <v>19</v>
      </c>
    </row>
    <row r="226" spans="1:8">
      <c r="A226" s="4">
        <v>46085</v>
      </c>
      <c r="B226" s="5">
        <v>0</v>
      </c>
      <c r="C226" s="5">
        <v>0</v>
      </c>
      <c r="D226" s="5">
        <v>-28</v>
      </c>
      <c r="E226" s="5">
        <v>-3</v>
      </c>
      <c r="F226" s="3">
        <v>277</v>
      </c>
      <c r="G226" s="7">
        <v>0.74119999999999997</v>
      </c>
      <c r="H226">
        <v>16</v>
      </c>
    </row>
    <row r="227" spans="1:8">
      <c r="A227" s="4">
        <v>46086</v>
      </c>
      <c r="B227" s="5">
        <v>0</v>
      </c>
      <c r="C227" s="5">
        <v>0</v>
      </c>
      <c r="D227" s="5">
        <v>-21</v>
      </c>
      <c r="E227" s="5">
        <v>-3</v>
      </c>
      <c r="F227" s="3">
        <v>251</v>
      </c>
      <c r="G227" s="7">
        <v>0.67569999999999997</v>
      </c>
      <c r="H227">
        <v>17</v>
      </c>
    </row>
    <row r="228" spans="1:8">
      <c r="A228" s="4">
        <v>46087</v>
      </c>
      <c r="B228" s="5">
        <v>0</v>
      </c>
      <c r="C228" s="5">
        <v>0</v>
      </c>
      <c r="D228" s="5">
        <v>-34</v>
      </c>
      <c r="E228" s="5">
        <v>-4</v>
      </c>
      <c r="F228" s="3">
        <v>265</v>
      </c>
      <c r="G228" s="7">
        <v>0.66039999999999999</v>
      </c>
      <c r="H228">
        <v>16</v>
      </c>
    </row>
    <row r="229" spans="1:8">
      <c r="A229" s="4">
        <v>46088</v>
      </c>
      <c r="B229" s="5">
        <v>0</v>
      </c>
      <c r="C229" s="5">
        <v>0</v>
      </c>
      <c r="D229" s="5">
        <v>-29</v>
      </c>
      <c r="E229" s="5">
        <v>-4</v>
      </c>
      <c r="F229" s="3">
        <v>305</v>
      </c>
      <c r="G229" s="7">
        <v>0.85089999999999999</v>
      </c>
      <c r="H229">
        <v>16</v>
      </c>
    </row>
    <row r="230" spans="1:8">
      <c r="A230" s="4">
        <v>46089</v>
      </c>
      <c r="B230" s="5">
        <v>0</v>
      </c>
      <c r="C230" s="5">
        <v>0</v>
      </c>
      <c r="D230" s="5">
        <v>-18</v>
      </c>
      <c r="E230" s="5">
        <v>-2</v>
      </c>
      <c r="F230" s="3">
        <v>305</v>
      </c>
      <c r="G230" s="7">
        <v>0.87029999999999996</v>
      </c>
      <c r="H230">
        <v>18</v>
      </c>
    </row>
    <row r="231" spans="1:8">
      <c r="A231" s="4">
        <v>46090</v>
      </c>
      <c r="B231" s="5">
        <v>0</v>
      </c>
      <c r="C231" s="5">
        <v>0</v>
      </c>
      <c r="D231" s="5">
        <v>-13</v>
      </c>
      <c r="E231" s="5">
        <v>-6</v>
      </c>
      <c r="F231" s="3">
        <v>252</v>
      </c>
      <c r="G231" s="7">
        <v>0.68100000000000005</v>
      </c>
      <c r="H231">
        <v>17</v>
      </c>
    </row>
    <row r="232" spans="1:8">
      <c r="A232" s="4">
        <v>46091</v>
      </c>
      <c r="B232" s="5">
        <v>0</v>
      </c>
      <c r="C232" s="5">
        <v>0</v>
      </c>
      <c r="D232" s="5">
        <v>-18</v>
      </c>
      <c r="E232" s="5">
        <v>0</v>
      </c>
      <c r="F232" s="3">
        <v>302</v>
      </c>
      <c r="G232" s="7">
        <v>0.79349999999999998</v>
      </c>
      <c r="H232">
        <v>17</v>
      </c>
    </row>
    <row r="233" spans="1:8">
      <c r="A233" s="4">
        <v>46092</v>
      </c>
      <c r="B233" s="5">
        <v>0</v>
      </c>
      <c r="C233" s="5">
        <v>1</v>
      </c>
      <c r="D233" s="5">
        <v>-24</v>
      </c>
      <c r="E233" s="5">
        <v>-6</v>
      </c>
      <c r="F233" s="3">
        <v>242</v>
      </c>
      <c r="G233" s="7">
        <v>0.60709999999999997</v>
      </c>
      <c r="H233">
        <v>16</v>
      </c>
    </row>
    <row r="234" spans="1:8">
      <c r="A234" s="4">
        <v>46093</v>
      </c>
      <c r="B234" s="5">
        <v>5</v>
      </c>
      <c r="C234" s="5">
        <v>0</v>
      </c>
      <c r="D234" s="5">
        <v>-18</v>
      </c>
      <c r="E234" s="5">
        <v>-4</v>
      </c>
      <c r="F234" s="3">
        <v>294</v>
      </c>
      <c r="G234" s="7">
        <v>0.80489999999999995</v>
      </c>
      <c r="H234">
        <v>18</v>
      </c>
    </row>
    <row r="235" spans="1:8">
      <c r="A235" s="4">
        <v>46094</v>
      </c>
      <c r="B235" s="5">
        <v>0</v>
      </c>
      <c r="C235" s="5">
        <v>0</v>
      </c>
      <c r="D235" s="5">
        <v>-37</v>
      </c>
      <c r="E235" s="5">
        <v>-6</v>
      </c>
      <c r="F235" s="3">
        <v>364</v>
      </c>
      <c r="G235" s="7">
        <v>0.94810000000000005</v>
      </c>
      <c r="H235">
        <v>16</v>
      </c>
    </row>
    <row r="236" spans="1:8">
      <c r="A236" s="4">
        <v>46095</v>
      </c>
      <c r="B236" s="5">
        <v>2</v>
      </c>
      <c r="C236" s="5">
        <v>0</v>
      </c>
      <c r="D236" s="5">
        <v>-37</v>
      </c>
      <c r="E236" s="5">
        <v>-3</v>
      </c>
      <c r="F236" s="3">
        <v>417</v>
      </c>
      <c r="G236" s="7">
        <v>1.5712999999999999</v>
      </c>
      <c r="H236">
        <v>28</v>
      </c>
    </row>
    <row r="237" spans="1:8">
      <c r="A237" s="4">
        <v>46096</v>
      </c>
      <c r="B237" s="5">
        <v>0</v>
      </c>
      <c r="C237" s="5">
        <v>0</v>
      </c>
      <c r="D237" s="5">
        <v>-33</v>
      </c>
      <c r="E237" s="5">
        <v>-2</v>
      </c>
      <c r="F237" s="3">
        <v>324</v>
      </c>
      <c r="G237" s="7">
        <v>0.9778</v>
      </c>
      <c r="H237">
        <v>20</v>
      </c>
    </row>
    <row r="238" spans="1:8">
      <c r="A238" s="4">
        <v>46097</v>
      </c>
      <c r="B238" s="5">
        <v>0</v>
      </c>
      <c r="C238" s="5">
        <v>0</v>
      </c>
      <c r="D238" s="5">
        <v>-27</v>
      </c>
      <c r="E238" s="5">
        <v>-10</v>
      </c>
      <c r="F238" s="3">
        <v>272</v>
      </c>
      <c r="G238" s="7">
        <v>0.78110000000000002</v>
      </c>
      <c r="H238">
        <v>19</v>
      </c>
    </row>
    <row r="239" spans="1:8">
      <c r="A239" s="4">
        <v>46098</v>
      </c>
      <c r="B239" s="5">
        <v>0</v>
      </c>
      <c r="C239" s="5">
        <v>0</v>
      </c>
      <c r="D239" s="5">
        <v>-31</v>
      </c>
      <c r="E239" s="5">
        <v>-11</v>
      </c>
      <c r="F239" s="3">
        <v>296</v>
      </c>
      <c r="G239" s="7">
        <v>0.83020000000000005</v>
      </c>
      <c r="H239">
        <v>20</v>
      </c>
    </row>
    <row r="240" spans="1:8">
      <c r="A240" s="4">
        <v>46099</v>
      </c>
      <c r="B240" s="5">
        <v>0</v>
      </c>
      <c r="C240" s="5">
        <v>0</v>
      </c>
      <c r="D240" s="5">
        <v>14</v>
      </c>
      <c r="E240" s="5">
        <v>-2</v>
      </c>
      <c r="F240" s="3">
        <v>330</v>
      </c>
      <c r="G240" s="7">
        <v>0.85960000000000003</v>
      </c>
      <c r="H240">
        <v>17</v>
      </c>
    </row>
    <row r="241" spans="1:8">
      <c r="A241" s="4">
        <v>46100</v>
      </c>
      <c r="B241" s="5">
        <v>0</v>
      </c>
      <c r="C241" s="5">
        <v>0</v>
      </c>
      <c r="D241" s="5">
        <v>-35</v>
      </c>
      <c r="E241" s="5">
        <v>-4</v>
      </c>
      <c r="F241" s="3">
        <v>338</v>
      </c>
      <c r="G241" s="7">
        <v>0.82399999999999995</v>
      </c>
      <c r="H241">
        <v>18</v>
      </c>
    </row>
    <row r="242" spans="1:8">
      <c r="A242" s="4">
        <v>46101</v>
      </c>
      <c r="B242" s="5">
        <v>1</v>
      </c>
      <c r="C242" s="5">
        <v>1</v>
      </c>
      <c r="D242" s="5">
        <v>-23</v>
      </c>
      <c r="E242" s="5">
        <v>-6</v>
      </c>
      <c r="F242" s="3">
        <v>348</v>
      </c>
      <c r="G242" s="7">
        <v>1.0007999999999999</v>
      </c>
      <c r="H242">
        <v>19</v>
      </c>
    </row>
    <row r="243" spans="1:8">
      <c r="A243" s="4">
        <v>46102</v>
      </c>
      <c r="B243" s="5">
        <v>0</v>
      </c>
      <c r="C243" s="5">
        <v>0</v>
      </c>
      <c r="D243" s="5">
        <v>-38</v>
      </c>
      <c r="E243" s="5">
        <v>-7</v>
      </c>
      <c r="F243" s="3">
        <v>407</v>
      </c>
      <c r="G243" s="7">
        <v>1.0317000000000001</v>
      </c>
      <c r="H243">
        <v>16</v>
      </c>
    </row>
    <row r="244" spans="1:8">
      <c r="A244" s="4">
        <v>46103</v>
      </c>
      <c r="B244" s="5">
        <v>0</v>
      </c>
      <c r="C244" s="5">
        <v>0</v>
      </c>
      <c r="D244" s="5">
        <v>-24</v>
      </c>
      <c r="E244" s="5">
        <v>0</v>
      </c>
      <c r="F244" s="3">
        <v>370</v>
      </c>
      <c r="G244" s="7">
        <v>1.2407999999999999</v>
      </c>
      <c r="H244">
        <v>22</v>
      </c>
    </row>
    <row r="245" spans="1:8">
      <c r="A245" s="4">
        <v>46104</v>
      </c>
      <c r="B245" s="5">
        <v>0</v>
      </c>
      <c r="C245" s="5">
        <v>0</v>
      </c>
      <c r="D245" s="5">
        <v>-35</v>
      </c>
      <c r="E245" s="5">
        <v>-9</v>
      </c>
      <c r="F245" s="3">
        <v>299</v>
      </c>
      <c r="G245" s="7">
        <v>0.67769999999999997</v>
      </c>
      <c r="H245">
        <v>15</v>
      </c>
    </row>
    <row r="246" spans="1:8">
      <c r="A246" s="4">
        <v>46105</v>
      </c>
      <c r="B246" s="5">
        <v>0</v>
      </c>
      <c r="C246" s="5">
        <v>0</v>
      </c>
      <c r="D246" s="5">
        <v>-35</v>
      </c>
      <c r="E246" s="5">
        <v>-4</v>
      </c>
      <c r="F246" s="3">
        <v>326</v>
      </c>
      <c r="G246" s="7">
        <v>0.77729999999999999</v>
      </c>
      <c r="H246">
        <v>13</v>
      </c>
    </row>
    <row r="247" spans="1:8">
      <c r="A247" s="4">
        <v>46106</v>
      </c>
      <c r="B247" s="5">
        <v>0</v>
      </c>
      <c r="C247" s="5">
        <v>0</v>
      </c>
      <c r="D247" s="5">
        <v>-38</v>
      </c>
      <c r="E247" s="5">
        <v>-5</v>
      </c>
      <c r="F247" s="3">
        <v>292</v>
      </c>
      <c r="G247" s="7">
        <v>0.73960000000000004</v>
      </c>
      <c r="H247">
        <v>16</v>
      </c>
    </row>
    <row r="248" spans="1:8">
      <c r="A248" s="4">
        <v>46107</v>
      </c>
      <c r="B248" s="5">
        <v>0</v>
      </c>
      <c r="C248" s="5">
        <v>1</v>
      </c>
      <c r="D248" s="5">
        <v>-15</v>
      </c>
      <c r="E248" s="5">
        <v>-5</v>
      </c>
      <c r="F248" s="3">
        <v>291</v>
      </c>
      <c r="G248" s="7">
        <v>0.78200000000000003</v>
      </c>
      <c r="H248">
        <v>16</v>
      </c>
    </row>
    <row r="249" spans="1:8">
      <c r="A249" s="4">
        <v>46108</v>
      </c>
      <c r="B249" s="5">
        <v>0</v>
      </c>
      <c r="C249" s="5">
        <v>1</v>
      </c>
      <c r="D249" s="5">
        <v>-5</v>
      </c>
      <c r="E249" s="5">
        <v>-5</v>
      </c>
      <c r="F249" s="3">
        <v>355</v>
      </c>
      <c r="G249" s="7">
        <v>0.871</v>
      </c>
      <c r="H249">
        <v>17</v>
      </c>
    </row>
    <row r="250" spans="1:8">
      <c r="A250" s="4">
        <v>46109</v>
      </c>
      <c r="B250" s="5">
        <v>0</v>
      </c>
      <c r="C250" s="5">
        <v>0</v>
      </c>
      <c r="D250" s="5">
        <v>-14</v>
      </c>
      <c r="E250" s="5">
        <v>-3</v>
      </c>
      <c r="F250" s="3">
        <v>365</v>
      </c>
      <c r="G250" s="7">
        <v>1.4621</v>
      </c>
      <c r="H250">
        <v>27</v>
      </c>
    </row>
    <row r="251" spans="1:8">
      <c r="A251" s="4">
        <v>46110</v>
      </c>
      <c r="B251" s="5">
        <v>0</v>
      </c>
      <c r="C251" s="5">
        <v>0</v>
      </c>
      <c r="D251" s="5">
        <v>-12</v>
      </c>
      <c r="E251" s="5">
        <v>-4</v>
      </c>
      <c r="F251" s="3">
        <v>360</v>
      </c>
      <c r="G251" s="7">
        <v>0.87629999999999997</v>
      </c>
      <c r="H251">
        <v>16</v>
      </c>
    </row>
    <row r="252" spans="1:8">
      <c r="A252" s="4">
        <v>46111</v>
      </c>
      <c r="B252" s="5">
        <v>0</v>
      </c>
      <c r="C252" s="5">
        <v>0</v>
      </c>
      <c r="D252" s="5">
        <v>-17</v>
      </c>
      <c r="E252" s="5">
        <v>-3</v>
      </c>
      <c r="F252" s="3">
        <v>322</v>
      </c>
      <c r="G252" s="7">
        <v>0.86580000000000001</v>
      </c>
      <c r="H252">
        <v>17</v>
      </c>
    </row>
    <row r="253" spans="1:8">
      <c r="A253" s="4">
        <v>46112</v>
      </c>
      <c r="B253" s="5">
        <v>0</v>
      </c>
      <c r="C253" s="5">
        <v>0</v>
      </c>
      <c r="D253" s="5">
        <v>-5</v>
      </c>
      <c r="E253" s="5">
        <v>-4</v>
      </c>
      <c r="F253" s="3">
        <v>425</v>
      </c>
      <c r="G253" s="7">
        <v>0.95489999999999997</v>
      </c>
      <c r="H253">
        <v>17</v>
      </c>
    </row>
    <row r="254" spans="1:8">
      <c r="A254" s="4">
        <v>46113</v>
      </c>
      <c r="B254" s="5">
        <v>0</v>
      </c>
      <c r="C254" s="5">
        <v>0</v>
      </c>
      <c r="D254" s="5">
        <v>-7</v>
      </c>
      <c r="E254" s="5">
        <v>-3</v>
      </c>
      <c r="F254" s="3">
        <v>298</v>
      </c>
      <c r="G254" s="7">
        <v>0.79830000000000001</v>
      </c>
      <c r="H254">
        <v>16</v>
      </c>
    </row>
    <row r="255" spans="1:8">
      <c r="A255" s="4">
        <v>46114</v>
      </c>
      <c r="B255" s="5">
        <v>0</v>
      </c>
      <c r="C255" s="5">
        <v>0</v>
      </c>
      <c r="D255" s="5">
        <v>-17</v>
      </c>
      <c r="E255" s="5">
        <v>-2</v>
      </c>
      <c r="F255" s="3">
        <v>349</v>
      </c>
      <c r="G255" s="7">
        <v>0.89549999999999996</v>
      </c>
      <c r="H255">
        <v>16</v>
      </c>
    </row>
    <row r="256" spans="1:8">
      <c r="A256" s="4">
        <v>46115</v>
      </c>
      <c r="B256" s="5">
        <v>0</v>
      </c>
      <c r="C256" s="5">
        <v>1</v>
      </c>
      <c r="D256" s="5">
        <v>-118</v>
      </c>
      <c r="E256" s="5">
        <v>-6</v>
      </c>
      <c r="F256" s="3">
        <v>357</v>
      </c>
      <c r="G256" s="7">
        <v>0.88029999999999997</v>
      </c>
      <c r="H256">
        <v>15</v>
      </c>
    </row>
    <row r="257" spans="1:8">
      <c r="A257" s="4">
        <v>46116</v>
      </c>
      <c r="B257" s="5">
        <v>0</v>
      </c>
      <c r="C257" s="5">
        <v>0</v>
      </c>
      <c r="D257" s="5">
        <v>-36</v>
      </c>
      <c r="E257" s="5">
        <v>-14</v>
      </c>
      <c r="F257" s="3">
        <v>462</v>
      </c>
      <c r="G257" s="7">
        <v>0.9829</v>
      </c>
      <c r="H257">
        <v>13</v>
      </c>
    </row>
    <row r="258" spans="1:8">
      <c r="A258" s="4">
        <v>46117</v>
      </c>
      <c r="B258" s="5">
        <v>0</v>
      </c>
      <c r="C258" s="5">
        <v>0</v>
      </c>
      <c r="D258" s="5">
        <v>-13</v>
      </c>
      <c r="E258" s="5">
        <v>-5</v>
      </c>
      <c r="F258" s="3">
        <v>363</v>
      </c>
      <c r="G258" s="7">
        <v>0.9516</v>
      </c>
      <c r="H258">
        <v>17</v>
      </c>
    </row>
    <row r="259" spans="1:8">
      <c r="A259" s="4">
        <v>46118</v>
      </c>
      <c r="B259" s="5">
        <v>0</v>
      </c>
      <c r="C259" s="5">
        <v>0</v>
      </c>
      <c r="D259" s="5">
        <v>-10</v>
      </c>
      <c r="E259" s="5">
        <v>-2</v>
      </c>
      <c r="F259" s="3">
        <v>348</v>
      </c>
      <c r="G259" s="7">
        <v>0.89149999999999996</v>
      </c>
      <c r="H259">
        <v>17</v>
      </c>
    </row>
    <row r="260" spans="1:8">
      <c r="A260" s="4">
        <v>46119</v>
      </c>
      <c r="B260" s="5">
        <v>0</v>
      </c>
      <c r="C260" s="5">
        <v>0</v>
      </c>
      <c r="D260" s="5">
        <v>-19</v>
      </c>
      <c r="E260" s="5">
        <v>-3</v>
      </c>
      <c r="F260" s="3">
        <v>390</v>
      </c>
      <c r="G260" s="7">
        <v>1.0076000000000001</v>
      </c>
      <c r="H260">
        <v>18</v>
      </c>
    </row>
    <row r="261" spans="1:8">
      <c r="A261" s="4">
        <v>46120</v>
      </c>
      <c r="B261" s="5">
        <v>0</v>
      </c>
      <c r="C261" s="5">
        <v>0</v>
      </c>
      <c r="D261" s="5">
        <v>-17</v>
      </c>
      <c r="E261" s="5">
        <v>0</v>
      </c>
      <c r="F261" s="3">
        <v>336</v>
      </c>
      <c r="G261" s="7">
        <v>0.80779999999999996</v>
      </c>
      <c r="H261">
        <v>17</v>
      </c>
    </row>
    <row r="262" spans="1:8">
      <c r="A262" s="4">
        <v>46121</v>
      </c>
      <c r="B262" s="5">
        <v>0</v>
      </c>
      <c r="C262" s="5">
        <v>0</v>
      </c>
      <c r="D262" s="5">
        <v>-14</v>
      </c>
      <c r="E262" s="5">
        <v>-6</v>
      </c>
      <c r="F262" s="3">
        <v>310</v>
      </c>
      <c r="G262" s="7">
        <v>2.0775999999999999</v>
      </c>
      <c r="H262">
        <v>50</v>
      </c>
    </row>
    <row r="263" spans="1:8">
      <c r="A263" s="4">
        <v>46122</v>
      </c>
      <c r="B263" s="5">
        <v>2</v>
      </c>
      <c r="C263" s="5">
        <v>0</v>
      </c>
      <c r="D263" s="5">
        <v>-112</v>
      </c>
      <c r="E263" s="5">
        <v>-26</v>
      </c>
      <c r="F263" s="3">
        <v>377</v>
      </c>
      <c r="G263" s="7">
        <v>0.96650000000000003</v>
      </c>
      <c r="H263">
        <v>16</v>
      </c>
    </row>
    <row r="264" spans="1:8">
      <c r="A264" s="4">
        <v>46123</v>
      </c>
      <c r="B264" s="5">
        <v>0</v>
      </c>
      <c r="C264" s="5">
        <v>1</v>
      </c>
      <c r="D264" s="5">
        <v>-12</v>
      </c>
      <c r="E264" s="5">
        <v>-4</v>
      </c>
      <c r="F264" s="3">
        <v>326</v>
      </c>
      <c r="G264" s="7">
        <v>0.80740000000000001</v>
      </c>
      <c r="H264">
        <v>16</v>
      </c>
    </row>
    <row r="265" spans="1:8">
      <c r="A265" s="4">
        <v>46124</v>
      </c>
      <c r="B265" s="5">
        <v>0</v>
      </c>
      <c r="C265" s="5">
        <v>0</v>
      </c>
      <c r="D265" s="5">
        <v>-12</v>
      </c>
      <c r="E265" s="5">
        <v>-5</v>
      </c>
      <c r="F265" s="3">
        <v>385</v>
      </c>
      <c r="G265" s="7">
        <v>0.99890000000000001</v>
      </c>
      <c r="H265">
        <v>18</v>
      </c>
    </row>
    <row r="266" spans="1:8">
      <c r="A266" s="4">
        <v>46125</v>
      </c>
      <c r="B266" s="5">
        <v>0</v>
      </c>
      <c r="C266" s="5">
        <v>0</v>
      </c>
      <c r="D266" s="5">
        <v>-42</v>
      </c>
      <c r="E266" s="5">
        <v>0</v>
      </c>
      <c r="F266" s="3">
        <v>304</v>
      </c>
      <c r="G266" s="7">
        <v>0.75129999999999997</v>
      </c>
      <c r="H266">
        <v>17</v>
      </c>
    </row>
    <row r="267" spans="1:8">
      <c r="A267" s="4">
        <v>46126</v>
      </c>
      <c r="B267" s="5">
        <v>0</v>
      </c>
      <c r="C267" s="5">
        <v>0</v>
      </c>
      <c r="D267" s="5">
        <v>-58</v>
      </c>
      <c r="E267" s="5">
        <v>-15</v>
      </c>
      <c r="F267" s="3">
        <v>350</v>
      </c>
      <c r="G267" s="7">
        <v>0.96930000000000005</v>
      </c>
      <c r="H267">
        <v>18</v>
      </c>
    </row>
    <row r="268" spans="1:8">
      <c r="A268" s="4">
        <v>46127</v>
      </c>
      <c r="B268" s="5">
        <v>0</v>
      </c>
      <c r="C268" s="5">
        <v>0</v>
      </c>
      <c r="D268" s="5">
        <v>-17</v>
      </c>
      <c r="E268" s="5">
        <v>0</v>
      </c>
      <c r="F268" s="3">
        <v>374</v>
      </c>
      <c r="G268" s="7">
        <v>1.0516000000000001</v>
      </c>
      <c r="H268">
        <v>18</v>
      </c>
    </row>
    <row r="269" spans="1:8">
      <c r="A269" s="4">
        <v>46128</v>
      </c>
      <c r="B269" s="5">
        <v>0</v>
      </c>
      <c r="C269" s="5">
        <v>1</v>
      </c>
      <c r="D269" s="5">
        <v>-16</v>
      </c>
      <c r="E269" s="5">
        <v>-3</v>
      </c>
      <c r="F269" s="3">
        <v>354</v>
      </c>
      <c r="G269" s="7">
        <v>0.86129999999999995</v>
      </c>
      <c r="H269">
        <v>17</v>
      </c>
    </row>
    <row r="270" spans="1:8">
      <c r="A270" s="4">
        <v>46129</v>
      </c>
      <c r="B270" s="5">
        <v>0</v>
      </c>
      <c r="C270" s="5">
        <v>0</v>
      </c>
      <c r="D270" s="5">
        <v>-53</v>
      </c>
      <c r="E270" s="5">
        <v>-8</v>
      </c>
      <c r="F270" s="3">
        <v>488</v>
      </c>
      <c r="G270" s="7">
        <v>1.4962</v>
      </c>
      <c r="H270">
        <v>21</v>
      </c>
    </row>
    <row r="271" spans="1:8">
      <c r="A271" s="4">
        <v>46130</v>
      </c>
      <c r="B271" s="5">
        <v>0</v>
      </c>
      <c r="C271" s="5">
        <v>0</v>
      </c>
      <c r="D271" s="5">
        <v>-14</v>
      </c>
      <c r="E271" s="5">
        <v>-1</v>
      </c>
      <c r="F271" s="3">
        <v>500</v>
      </c>
      <c r="G271" s="7">
        <v>1.2060999999999999</v>
      </c>
      <c r="H271">
        <v>17</v>
      </c>
    </row>
    <row r="272" spans="1:8">
      <c r="A272" s="4">
        <v>46131</v>
      </c>
      <c r="B272" s="5">
        <v>0</v>
      </c>
      <c r="C272" s="5">
        <v>1</v>
      </c>
      <c r="D272" s="5">
        <v>-38</v>
      </c>
      <c r="E272" s="5">
        <v>-3</v>
      </c>
      <c r="F272" s="3">
        <v>483</v>
      </c>
      <c r="G272" s="7">
        <v>1.1778999999999999</v>
      </c>
      <c r="H272">
        <v>16</v>
      </c>
    </row>
    <row r="273" spans="1:8">
      <c r="A273" s="4">
        <v>46132</v>
      </c>
      <c r="B273" s="5">
        <v>0</v>
      </c>
      <c r="C273" s="5">
        <v>0</v>
      </c>
      <c r="D273" s="5">
        <v>-32</v>
      </c>
      <c r="E273" s="5">
        <v>-4</v>
      </c>
      <c r="F273" s="3">
        <v>326</v>
      </c>
      <c r="G273" s="7">
        <v>0.81179999999999997</v>
      </c>
      <c r="H273">
        <v>16</v>
      </c>
    </row>
    <row r="274" spans="1:8">
      <c r="A274" s="4">
        <v>46133</v>
      </c>
      <c r="B274" s="5">
        <v>1</v>
      </c>
      <c r="C274" s="5">
        <v>0</v>
      </c>
      <c r="D274" s="5">
        <v>-28</v>
      </c>
      <c r="E274" s="5">
        <v>-8</v>
      </c>
      <c r="F274" s="3">
        <v>324</v>
      </c>
      <c r="G274" s="7">
        <v>1.1017999999999999</v>
      </c>
      <c r="H274">
        <v>24</v>
      </c>
    </row>
    <row r="275" spans="1:8">
      <c r="A275" s="4">
        <v>46134</v>
      </c>
      <c r="B275" s="5">
        <v>0</v>
      </c>
      <c r="C275" s="5">
        <v>0</v>
      </c>
      <c r="D275" s="5">
        <v>-11</v>
      </c>
      <c r="E275" s="5">
        <v>-2</v>
      </c>
      <c r="F275" s="3">
        <v>358</v>
      </c>
      <c r="G275" s="7">
        <v>1.0006999999999999</v>
      </c>
      <c r="H275">
        <v>19</v>
      </c>
    </row>
    <row r="276" spans="1:8">
      <c r="A276" s="4">
        <v>46135</v>
      </c>
      <c r="B276" s="5">
        <v>0</v>
      </c>
      <c r="C276" s="5">
        <v>0</v>
      </c>
      <c r="D276" s="5">
        <v>-19</v>
      </c>
      <c r="E276" s="5">
        <v>-1</v>
      </c>
      <c r="F276" s="3">
        <v>286</v>
      </c>
      <c r="G276" s="7">
        <v>0.93059999999999998</v>
      </c>
      <c r="H276">
        <v>21</v>
      </c>
    </row>
    <row r="277" spans="1:8">
      <c r="A277" s="4">
        <v>46136</v>
      </c>
      <c r="B277" s="5">
        <v>0</v>
      </c>
      <c r="C277" s="5">
        <v>0</v>
      </c>
      <c r="D277" s="5">
        <v>-23</v>
      </c>
      <c r="E277" s="5">
        <v>-10</v>
      </c>
      <c r="F277" s="3">
        <v>295</v>
      </c>
      <c r="G277" s="7">
        <v>0.75170000000000003</v>
      </c>
      <c r="H277">
        <v>18</v>
      </c>
    </row>
    <row r="278" spans="1:8">
      <c r="A278" s="4">
        <v>46137</v>
      </c>
      <c r="B278" s="5">
        <v>0</v>
      </c>
      <c r="C278" s="5">
        <v>0</v>
      </c>
      <c r="D278" s="5">
        <v>-25</v>
      </c>
      <c r="E278" s="5">
        <v>-5</v>
      </c>
      <c r="F278" s="3">
        <v>287</v>
      </c>
      <c r="G278" s="7">
        <v>0.77649999999999997</v>
      </c>
      <c r="H278">
        <v>18</v>
      </c>
    </row>
    <row r="279" spans="1:8">
      <c r="A279" s="4">
        <v>46138</v>
      </c>
      <c r="B279" s="5">
        <v>0</v>
      </c>
      <c r="C279" s="5">
        <v>0</v>
      </c>
      <c r="D279" s="5">
        <v>-21</v>
      </c>
      <c r="E279" s="5">
        <v>-2</v>
      </c>
      <c r="F279" s="3">
        <v>350</v>
      </c>
      <c r="G279" s="7">
        <v>0.93020000000000003</v>
      </c>
      <c r="H279">
        <v>19</v>
      </c>
    </row>
    <row r="280" spans="1:8">
      <c r="A280" s="4">
        <v>46139</v>
      </c>
      <c r="B280" s="5">
        <v>0</v>
      </c>
      <c r="C280" s="5">
        <v>0</v>
      </c>
      <c r="D280" s="5">
        <v>-27</v>
      </c>
      <c r="E280" s="5">
        <v>-5</v>
      </c>
      <c r="F280" s="3">
        <v>290</v>
      </c>
      <c r="G280" s="7">
        <v>0.77210000000000001</v>
      </c>
      <c r="H280">
        <v>18</v>
      </c>
    </row>
    <row r="281" spans="1:8">
      <c r="A281" s="4">
        <v>46140</v>
      </c>
      <c r="B281" s="5">
        <v>0</v>
      </c>
      <c r="C281" s="5">
        <v>0</v>
      </c>
      <c r="D281" s="5">
        <v>-1</v>
      </c>
      <c r="E281" s="5">
        <v>-1</v>
      </c>
      <c r="F281" s="3">
        <v>442</v>
      </c>
      <c r="G281" s="7">
        <v>1.167</v>
      </c>
      <c r="H281">
        <v>18</v>
      </c>
    </row>
    <row r="282" spans="1:8">
      <c r="A282" s="4">
        <v>46141</v>
      </c>
      <c r="B282" s="5">
        <v>0</v>
      </c>
      <c r="C282" s="5">
        <v>0</v>
      </c>
      <c r="D282" s="5">
        <v>-56</v>
      </c>
      <c r="E282" s="5">
        <v>-1</v>
      </c>
      <c r="F282" s="3">
        <v>316</v>
      </c>
      <c r="G282" s="7">
        <v>0.82899999999999996</v>
      </c>
      <c r="H282">
        <v>18</v>
      </c>
    </row>
    <row r="283" spans="1:8">
      <c r="A283" s="4">
        <v>46142</v>
      </c>
      <c r="B283" s="5">
        <v>2</v>
      </c>
      <c r="C283" s="5">
        <v>0</v>
      </c>
      <c r="D283" s="5">
        <v>-22</v>
      </c>
      <c r="E283" s="5">
        <v>-9</v>
      </c>
      <c r="F283" s="3">
        <v>416</v>
      </c>
      <c r="G283" s="7">
        <v>1.0456000000000001</v>
      </c>
      <c r="H283">
        <v>17</v>
      </c>
    </row>
    <row r="284" spans="1:8">
      <c r="A284" s="4">
        <v>46143</v>
      </c>
      <c r="B284" s="5">
        <v>0</v>
      </c>
      <c r="C284" s="5">
        <v>0</v>
      </c>
      <c r="D284" s="5">
        <v>-41</v>
      </c>
      <c r="E284" s="5">
        <v>-9</v>
      </c>
      <c r="F284" s="3">
        <v>393</v>
      </c>
      <c r="G284" s="7">
        <v>1.0886</v>
      </c>
      <c r="H284">
        <v>17</v>
      </c>
    </row>
    <row r="285" spans="1:8">
      <c r="A285" s="4">
        <v>46144</v>
      </c>
      <c r="B285" s="5">
        <v>0</v>
      </c>
      <c r="C285" s="5">
        <v>0</v>
      </c>
      <c r="D285" s="5">
        <v>-18</v>
      </c>
      <c r="E285" s="5">
        <v>-5</v>
      </c>
      <c r="F285" s="3">
        <v>385</v>
      </c>
      <c r="G285" s="7">
        <v>1.0303</v>
      </c>
      <c r="H285">
        <v>18</v>
      </c>
    </row>
    <row r="286" spans="1:8">
      <c r="A286" s="4">
        <v>46145</v>
      </c>
      <c r="B286" s="5">
        <v>0</v>
      </c>
      <c r="C286" s="5">
        <v>0</v>
      </c>
      <c r="D286" s="5">
        <v>-26</v>
      </c>
      <c r="E286" s="5">
        <v>-2</v>
      </c>
      <c r="F286" s="3">
        <v>311</v>
      </c>
      <c r="G286" s="7">
        <v>0.7853</v>
      </c>
      <c r="H286">
        <v>17</v>
      </c>
    </row>
    <row r="287" spans="1:8">
      <c r="A287" s="4">
        <v>46146</v>
      </c>
      <c r="B287" s="5">
        <v>0</v>
      </c>
      <c r="C287" s="5">
        <v>0</v>
      </c>
      <c r="D287" s="5">
        <v>-34</v>
      </c>
      <c r="E287" s="5">
        <v>0</v>
      </c>
      <c r="F287" s="3">
        <v>307</v>
      </c>
      <c r="G287" s="7">
        <v>0.82909999999999995</v>
      </c>
      <c r="H287">
        <v>18</v>
      </c>
    </row>
    <row r="288" spans="1:8">
      <c r="A288" s="4">
        <v>46147</v>
      </c>
      <c r="B288" s="5">
        <v>0</v>
      </c>
      <c r="C288" s="5">
        <v>0</v>
      </c>
      <c r="D288" s="5">
        <v>2</v>
      </c>
      <c r="E288" s="5">
        <v>0</v>
      </c>
      <c r="F288" s="3">
        <v>269</v>
      </c>
      <c r="G288" s="7">
        <v>0.70050000000000001</v>
      </c>
      <c r="H288">
        <v>18</v>
      </c>
    </row>
    <row r="289" spans="1:8">
      <c r="A289" s="4">
        <v>46148</v>
      </c>
      <c r="B289" s="5">
        <v>0</v>
      </c>
      <c r="C289" s="5">
        <v>0</v>
      </c>
      <c r="D289" s="5">
        <v>-51</v>
      </c>
      <c r="E289" s="5">
        <v>-1</v>
      </c>
      <c r="F289" s="3">
        <v>306</v>
      </c>
      <c r="G289" s="7">
        <v>0.76129999999999998</v>
      </c>
      <c r="H289">
        <v>18</v>
      </c>
    </row>
    <row r="290" spans="1:8">
      <c r="A290" s="4">
        <v>46149</v>
      </c>
      <c r="B290" s="5">
        <v>0</v>
      </c>
      <c r="C290" s="5">
        <v>0</v>
      </c>
      <c r="D290" s="5">
        <v>-7</v>
      </c>
      <c r="E290" s="5">
        <v>0</v>
      </c>
      <c r="F290" s="3">
        <v>343</v>
      </c>
      <c r="G290" s="7">
        <v>0.89149999999999996</v>
      </c>
      <c r="H290">
        <v>17</v>
      </c>
    </row>
    <row r="291" spans="1:8">
      <c r="A291" s="4">
        <v>46150</v>
      </c>
      <c r="B291" s="5">
        <v>0</v>
      </c>
      <c r="C291" s="5">
        <v>1</v>
      </c>
      <c r="D291" s="5">
        <v>-19</v>
      </c>
      <c r="E291" s="5">
        <v>-9</v>
      </c>
      <c r="F291" s="3">
        <v>525</v>
      </c>
      <c r="G291" s="7">
        <v>1.3299000000000001</v>
      </c>
      <c r="H291">
        <v>17</v>
      </c>
    </row>
    <row r="292" spans="1:8">
      <c r="A292" s="4">
        <v>46151</v>
      </c>
      <c r="B292" s="5">
        <v>0</v>
      </c>
      <c r="C292" s="5">
        <v>0</v>
      </c>
      <c r="D292" s="5">
        <v>-1</v>
      </c>
      <c r="E292" s="5">
        <v>-3</v>
      </c>
      <c r="F292" s="3">
        <v>542</v>
      </c>
      <c r="G292" s="7">
        <v>1.3846000000000001</v>
      </c>
      <c r="H292">
        <v>17</v>
      </c>
    </row>
    <row r="293" spans="1:8">
      <c r="A293" s="4">
        <v>46152</v>
      </c>
      <c r="B293" s="5">
        <v>0</v>
      </c>
      <c r="C293" s="5">
        <v>0</v>
      </c>
      <c r="D293" s="5">
        <v>-55</v>
      </c>
      <c r="E293" s="5">
        <v>-3</v>
      </c>
      <c r="F293" s="3">
        <v>394</v>
      </c>
      <c r="G293" s="7">
        <v>1.1088</v>
      </c>
      <c r="H293">
        <v>20</v>
      </c>
    </row>
    <row r="294" spans="1:8">
      <c r="A294" s="4">
        <v>46153</v>
      </c>
      <c r="B294" s="5">
        <v>0</v>
      </c>
      <c r="C294" s="5">
        <v>0</v>
      </c>
      <c r="D294" s="5">
        <v>-24</v>
      </c>
      <c r="E294" s="5">
        <v>0</v>
      </c>
      <c r="F294" s="3">
        <v>346</v>
      </c>
      <c r="G294" s="7">
        <v>0.85719999999999996</v>
      </c>
      <c r="H294">
        <v>17</v>
      </c>
    </row>
    <row r="295" spans="1:8">
      <c r="A295" s="4">
        <v>46154</v>
      </c>
      <c r="B295" s="5">
        <v>0</v>
      </c>
      <c r="C295" s="5">
        <v>0</v>
      </c>
      <c r="D295" s="5">
        <v>-7</v>
      </c>
      <c r="E295" s="5">
        <v>1</v>
      </c>
      <c r="F295" s="3">
        <v>315</v>
      </c>
      <c r="G295" s="7">
        <v>0.87180000000000002</v>
      </c>
      <c r="H295">
        <v>19</v>
      </c>
    </row>
    <row r="296" spans="1:8">
      <c r="A296" s="4">
        <v>46155</v>
      </c>
      <c r="B296" s="5">
        <v>0</v>
      </c>
      <c r="C296" s="5">
        <v>0</v>
      </c>
      <c r="D296" s="5">
        <v>-47</v>
      </c>
      <c r="E296" s="5">
        <v>0</v>
      </c>
      <c r="F296" s="3">
        <v>311</v>
      </c>
      <c r="G296" s="7">
        <v>0.76390000000000002</v>
      </c>
      <c r="H296">
        <v>17</v>
      </c>
    </row>
    <row r="297" spans="1:8">
      <c r="A297" s="4">
        <v>46156</v>
      </c>
      <c r="B297" s="5">
        <v>0</v>
      </c>
      <c r="C297" s="5">
        <v>0</v>
      </c>
      <c r="D297" s="5">
        <v>-8</v>
      </c>
      <c r="E297" s="5">
        <v>-2</v>
      </c>
      <c r="F297" s="3">
        <v>441</v>
      </c>
      <c r="G297" s="7">
        <v>1.2533000000000001</v>
      </c>
      <c r="H297">
        <v>20</v>
      </c>
    </row>
    <row r="298" spans="1:8">
      <c r="A298" s="4">
        <v>46157</v>
      </c>
      <c r="B298" s="5">
        <v>0</v>
      </c>
      <c r="C298" s="5">
        <v>0</v>
      </c>
      <c r="D298" s="5">
        <v>-23</v>
      </c>
      <c r="E298" s="5">
        <v>-17</v>
      </c>
      <c r="F298" s="3">
        <v>403</v>
      </c>
      <c r="G298" s="7">
        <v>1.0027999999999999</v>
      </c>
      <c r="H298">
        <v>17</v>
      </c>
    </row>
    <row r="299" spans="1:8">
      <c r="A299" s="4">
        <v>46158</v>
      </c>
      <c r="B299" s="5">
        <v>0</v>
      </c>
      <c r="C299" s="5">
        <v>0</v>
      </c>
      <c r="D299" s="5">
        <v>-22</v>
      </c>
      <c r="E299" s="5">
        <v>-9</v>
      </c>
      <c r="F299" s="3">
        <v>405</v>
      </c>
      <c r="G299" s="7">
        <v>1.0318000000000001</v>
      </c>
      <c r="H299">
        <v>18</v>
      </c>
    </row>
    <row r="300" spans="1:8">
      <c r="A300" s="4">
        <v>46159</v>
      </c>
      <c r="B300" s="5">
        <v>1</v>
      </c>
      <c r="C300" s="5">
        <v>0</v>
      </c>
      <c r="D300" s="5">
        <v>-9</v>
      </c>
      <c r="E300" s="5">
        <v>-7</v>
      </c>
      <c r="F300" s="3">
        <v>424</v>
      </c>
      <c r="G300" s="7">
        <v>1.1416999999999999</v>
      </c>
      <c r="H300">
        <v>18</v>
      </c>
    </row>
    <row r="301" spans="1:8">
      <c r="A301" s="4">
        <v>46160</v>
      </c>
      <c r="B301" s="5">
        <v>0</v>
      </c>
      <c r="C301" s="5">
        <v>1</v>
      </c>
      <c r="D301" s="5">
        <v>3</v>
      </c>
      <c r="E301" s="5">
        <v>-1</v>
      </c>
      <c r="F301" s="3">
        <v>305</v>
      </c>
      <c r="G301" s="7">
        <v>1.0903</v>
      </c>
      <c r="H301">
        <v>25</v>
      </c>
    </row>
    <row r="302" spans="1:8">
      <c r="A302" s="4">
        <v>46161</v>
      </c>
      <c r="B302" s="5">
        <v>0</v>
      </c>
      <c r="C302" s="5">
        <v>0</v>
      </c>
      <c r="D302" s="5">
        <v>4</v>
      </c>
      <c r="E302" s="5">
        <v>-1</v>
      </c>
      <c r="F302" s="3">
        <v>296</v>
      </c>
      <c r="G302" s="7">
        <v>0.76600000000000001</v>
      </c>
      <c r="H302">
        <v>18</v>
      </c>
    </row>
    <row r="303" spans="1:8">
      <c r="A303" s="4">
        <v>46162</v>
      </c>
      <c r="B303" s="5">
        <v>0</v>
      </c>
      <c r="C303" s="5">
        <v>1</v>
      </c>
      <c r="D303" s="5">
        <v>-45</v>
      </c>
      <c r="E303" s="5">
        <v>-2</v>
      </c>
      <c r="F303" s="3">
        <v>358</v>
      </c>
      <c r="G303" s="7">
        <v>0.98360000000000003</v>
      </c>
      <c r="H303">
        <v>18</v>
      </c>
    </row>
    <row r="304" spans="1:8">
      <c r="A304" s="4">
        <v>46163</v>
      </c>
      <c r="B304" s="5">
        <v>0</v>
      </c>
      <c r="C304" s="5">
        <v>0</v>
      </c>
      <c r="D304" s="5">
        <v>-46</v>
      </c>
      <c r="E304" s="5">
        <v>-9</v>
      </c>
      <c r="F304" s="3">
        <v>323</v>
      </c>
      <c r="G304" s="7">
        <v>0.77370000000000005</v>
      </c>
      <c r="H304">
        <v>16</v>
      </c>
    </row>
    <row r="305" spans="1:8">
      <c r="A305" s="4">
        <v>46164</v>
      </c>
      <c r="B305" s="5">
        <v>0</v>
      </c>
      <c r="C305" s="5">
        <v>0</v>
      </c>
      <c r="D305" s="5">
        <v>-21</v>
      </c>
      <c r="E305" s="5">
        <v>1</v>
      </c>
      <c r="F305" s="3">
        <v>424</v>
      </c>
      <c r="G305" s="7">
        <v>1.3238000000000001</v>
      </c>
      <c r="H305">
        <v>21</v>
      </c>
    </row>
    <row r="306" spans="1:8">
      <c r="A306" s="4">
        <v>46165</v>
      </c>
      <c r="B306" s="5">
        <v>0</v>
      </c>
      <c r="C306" s="5">
        <v>2</v>
      </c>
      <c r="D306" s="5">
        <v>-32</v>
      </c>
      <c r="E306" s="5">
        <v>-1</v>
      </c>
      <c r="F306" s="3">
        <v>480</v>
      </c>
      <c r="G306" s="7">
        <v>1.1352</v>
      </c>
      <c r="H306">
        <v>18</v>
      </c>
    </row>
    <row r="307" spans="1:8">
      <c r="A307" s="4">
        <v>46166</v>
      </c>
      <c r="B307" s="5">
        <v>0</v>
      </c>
      <c r="C307" s="5">
        <v>1</v>
      </c>
      <c r="D307" s="5">
        <v>-11</v>
      </c>
      <c r="E307" s="5">
        <v>1</v>
      </c>
      <c r="F307" s="3">
        <v>455</v>
      </c>
      <c r="G307" s="7">
        <v>1.1113</v>
      </c>
      <c r="H307">
        <v>17</v>
      </c>
    </row>
    <row r="308" spans="1:8">
      <c r="A308" s="4">
        <v>46167</v>
      </c>
      <c r="B308" s="5">
        <v>0</v>
      </c>
      <c r="C308" s="5">
        <v>1</v>
      </c>
      <c r="D308" s="5">
        <v>-12</v>
      </c>
      <c r="E308" s="5">
        <v>-3</v>
      </c>
      <c r="F308" s="3">
        <v>398</v>
      </c>
      <c r="G308" s="7">
        <v>0.98529999999999995</v>
      </c>
      <c r="H308">
        <v>17</v>
      </c>
    </row>
    <row r="309" spans="1:8">
      <c r="A309" s="4">
        <v>46168</v>
      </c>
      <c r="B309" s="5">
        <v>1</v>
      </c>
      <c r="C309" s="5">
        <v>0</v>
      </c>
      <c r="D309" s="5">
        <v>-8</v>
      </c>
      <c r="E309" s="5">
        <v>-10</v>
      </c>
      <c r="F309" s="3">
        <v>405</v>
      </c>
      <c r="G309" s="7">
        <v>1.0447</v>
      </c>
      <c r="H309">
        <v>17</v>
      </c>
    </row>
    <row r="310" spans="1:8">
      <c r="A310" s="4">
        <v>46169</v>
      </c>
      <c r="B310" s="5">
        <v>1</v>
      </c>
      <c r="C310" s="5">
        <v>0</v>
      </c>
      <c r="D310" s="5">
        <v>-18</v>
      </c>
      <c r="E310" s="5">
        <v>1</v>
      </c>
      <c r="F310" s="3">
        <v>332</v>
      </c>
      <c r="G310" s="7">
        <v>1.0505</v>
      </c>
      <c r="H310">
        <v>21</v>
      </c>
    </row>
    <row r="311" spans="1:8">
      <c r="A311" s="4">
        <v>46170</v>
      </c>
      <c r="B311" s="5">
        <v>0</v>
      </c>
      <c r="C311" s="5">
        <v>1</v>
      </c>
      <c r="D311" s="5">
        <v>-34</v>
      </c>
      <c r="E311" s="5">
        <v>-3</v>
      </c>
      <c r="F311" s="3">
        <v>337</v>
      </c>
      <c r="G311" s="7">
        <v>0.87890000000000001</v>
      </c>
      <c r="H311">
        <v>17</v>
      </c>
    </row>
    <row r="312" spans="1:8">
      <c r="A312" s="4">
        <v>46171</v>
      </c>
      <c r="B312" s="5">
        <v>0</v>
      </c>
      <c r="C312" s="5">
        <v>1</v>
      </c>
      <c r="D312" s="5">
        <v>-28</v>
      </c>
      <c r="E312" s="5">
        <v>-2</v>
      </c>
      <c r="F312" s="3">
        <v>382</v>
      </c>
      <c r="G312" s="7">
        <v>1.008</v>
      </c>
      <c r="H312">
        <v>18</v>
      </c>
    </row>
    <row r="313" spans="1:8">
      <c r="A313" s="4">
        <v>46172</v>
      </c>
      <c r="B313" s="5">
        <v>0</v>
      </c>
      <c r="C313" s="5">
        <v>1</v>
      </c>
      <c r="D313" s="5">
        <v>-24</v>
      </c>
      <c r="E313" s="5">
        <v>-9</v>
      </c>
      <c r="F313" s="3">
        <v>662</v>
      </c>
      <c r="G313" s="7">
        <v>1.7615000000000001</v>
      </c>
      <c r="H313">
        <v>18</v>
      </c>
    </row>
    <row r="314" spans="1:8">
      <c r="A314" s="4">
        <v>46173</v>
      </c>
      <c r="B314" s="5">
        <v>0</v>
      </c>
      <c r="C314" s="5">
        <v>0</v>
      </c>
      <c r="D314" s="5">
        <v>-14</v>
      </c>
      <c r="E314" s="5">
        <v>-1</v>
      </c>
      <c r="F314" s="3">
        <v>566</v>
      </c>
      <c r="G314" s="7">
        <v>1.4162999999999999</v>
      </c>
      <c r="H314">
        <v>16</v>
      </c>
    </row>
    <row r="315" spans="1:8">
      <c r="A315" s="4">
        <v>46174</v>
      </c>
      <c r="B315" s="5">
        <v>0</v>
      </c>
      <c r="C315" s="5">
        <v>0</v>
      </c>
      <c r="D315" s="5">
        <v>-57</v>
      </c>
      <c r="E315" s="5">
        <v>-15</v>
      </c>
      <c r="F315" s="3">
        <v>500</v>
      </c>
      <c r="G315" s="7">
        <v>1.2431000000000001</v>
      </c>
      <c r="H315">
        <v>16</v>
      </c>
    </row>
    <row r="316" spans="1:8">
      <c r="A316" s="4">
        <v>46175</v>
      </c>
      <c r="B316" s="5">
        <v>0</v>
      </c>
      <c r="C316" s="5">
        <v>1</v>
      </c>
      <c r="D316" s="5">
        <v>11</v>
      </c>
      <c r="E316" s="5">
        <v>-2</v>
      </c>
      <c r="F316" s="3">
        <v>525</v>
      </c>
      <c r="G316" s="7">
        <v>1.3462000000000001</v>
      </c>
      <c r="H316">
        <v>18</v>
      </c>
    </row>
    <row r="317" spans="1:8">
      <c r="A317" s="4">
        <v>46176</v>
      </c>
      <c r="B317" s="5">
        <v>0</v>
      </c>
      <c r="C317" s="5">
        <v>0</v>
      </c>
      <c r="D317" s="5">
        <v>-26</v>
      </c>
      <c r="E317" s="5">
        <v>0</v>
      </c>
      <c r="F317" s="3">
        <v>458</v>
      </c>
      <c r="G317" s="7">
        <v>1.0462</v>
      </c>
      <c r="H317">
        <v>15</v>
      </c>
    </row>
    <row r="318" spans="1:8">
      <c r="A318" s="4">
        <v>46177</v>
      </c>
      <c r="B318" s="5">
        <v>0</v>
      </c>
      <c r="C318" s="5">
        <v>0</v>
      </c>
      <c r="D318" s="5">
        <v>-11</v>
      </c>
      <c r="E318" s="5">
        <v>-9</v>
      </c>
      <c r="F318" s="3">
        <v>501</v>
      </c>
      <c r="G318" s="7">
        <v>1.3317000000000001</v>
      </c>
      <c r="H318">
        <v>17</v>
      </c>
    </row>
    <row r="319" spans="1:8">
      <c r="A319" s="4">
        <v>46178</v>
      </c>
      <c r="B319" s="5">
        <v>0</v>
      </c>
      <c r="C319" s="5">
        <v>1</v>
      </c>
      <c r="D319" s="5">
        <v>-37</v>
      </c>
      <c r="E319" s="5">
        <v>1</v>
      </c>
      <c r="F319" s="3">
        <v>528</v>
      </c>
      <c r="G319" s="7">
        <v>1.4161999999999999</v>
      </c>
      <c r="H319">
        <v>17</v>
      </c>
    </row>
    <row r="320" spans="1:8">
      <c r="A320" s="4">
        <v>46179</v>
      </c>
      <c r="B320" s="5">
        <v>4</v>
      </c>
      <c r="C320" s="5">
        <v>0</v>
      </c>
      <c r="D320" s="5">
        <v>-13</v>
      </c>
      <c r="E320" s="5">
        <v>-3</v>
      </c>
      <c r="F320" s="3">
        <v>650</v>
      </c>
      <c r="G320" s="7">
        <v>1.6786000000000001</v>
      </c>
      <c r="H320">
        <v>16</v>
      </c>
    </row>
    <row r="321" spans="1:8">
      <c r="A321" s="4">
        <v>46180</v>
      </c>
      <c r="B321" s="5">
        <v>0</v>
      </c>
      <c r="C321" s="5">
        <v>0</v>
      </c>
      <c r="D321" s="5">
        <v>-10</v>
      </c>
      <c r="E321" s="5">
        <v>-3</v>
      </c>
      <c r="F321" s="3">
        <v>597</v>
      </c>
      <c r="G321" s="7">
        <v>1.5018</v>
      </c>
      <c r="H321">
        <v>17</v>
      </c>
    </row>
    <row r="322" spans="1:8">
      <c r="A322" s="4">
        <v>46181</v>
      </c>
      <c r="B322" s="5">
        <v>0</v>
      </c>
      <c r="C322" s="5">
        <v>1</v>
      </c>
      <c r="D322" s="5">
        <v>-35</v>
      </c>
      <c r="E322" s="5">
        <v>-1</v>
      </c>
      <c r="F322" s="3">
        <v>555</v>
      </c>
      <c r="G322" s="7">
        <v>1.4415</v>
      </c>
      <c r="H322">
        <v>16</v>
      </c>
    </row>
    <row r="323" spans="1:8">
      <c r="A323" s="4">
        <v>46182</v>
      </c>
      <c r="B323" s="5">
        <v>0</v>
      </c>
      <c r="C323" s="5">
        <v>0</v>
      </c>
      <c r="D323" s="5">
        <v>2</v>
      </c>
      <c r="E323" s="5">
        <v>-12</v>
      </c>
      <c r="F323" s="3">
        <v>553</v>
      </c>
      <c r="G323" s="7">
        <v>1.4413</v>
      </c>
      <c r="H323">
        <v>17</v>
      </c>
    </row>
    <row r="324" spans="1:8">
      <c r="A324" s="4">
        <v>46183</v>
      </c>
      <c r="B324" s="5">
        <v>0</v>
      </c>
      <c r="C324" s="5">
        <v>1</v>
      </c>
      <c r="D324" s="5">
        <v>-17</v>
      </c>
      <c r="E324" s="5">
        <v>-4</v>
      </c>
      <c r="F324" s="3">
        <v>516</v>
      </c>
      <c r="G324" s="7">
        <v>1.3283</v>
      </c>
      <c r="H324">
        <v>17</v>
      </c>
    </row>
    <row r="325" spans="1:8">
      <c r="A325" s="4">
        <v>46184</v>
      </c>
      <c r="B325" s="5">
        <v>0</v>
      </c>
      <c r="C325" s="5">
        <v>0</v>
      </c>
      <c r="D325" s="5">
        <v>-23</v>
      </c>
      <c r="E325" s="5">
        <v>-4</v>
      </c>
      <c r="F325" s="3">
        <v>546</v>
      </c>
      <c r="G325" s="7">
        <v>1.4039999999999999</v>
      </c>
      <c r="H325">
        <v>17</v>
      </c>
    </row>
    <row r="326" spans="1:8">
      <c r="A326" s="4">
        <v>46185</v>
      </c>
      <c r="B326" s="5">
        <v>1</v>
      </c>
      <c r="C326" s="5">
        <v>0</v>
      </c>
      <c r="D326" s="5">
        <v>-26</v>
      </c>
      <c r="E326" s="5">
        <v>-6</v>
      </c>
      <c r="F326" s="3">
        <v>595</v>
      </c>
      <c r="G326" s="7">
        <v>1.5422</v>
      </c>
      <c r="H326">
        <v>18</v>
      </c>
    </row>
    <row r="327" spans="1:8">
      <c r="A327" s="4">
        <v>46186</v>
      </c>
      <c r="B327" s="5">
        <v>0</v>
      </c>
      <c r="C327" s="5">
        <v>0</v>
      </c>
      <c r="D327" s="5">
        <v>-2</v>
      </c>
      <c r="E327" s="5">
        <v>-4</v>
      </c>
      <c r="F327" s="3">
        <v>580</v>
      </c>
      <c r="G327" s="7">
        <v>1.4953000000000001</v>
      </c>
      <c r="H327">
        <v>17</v>
      </c>
    </row>
    <row r="328" spans="1:8">
      <c r="A328" s="4">
        <v>46187</v>
      </c>
      <c r="B328" s="5">
        <v>0</v>
      </c>
      <c r="C328" s="5">
        <v>1</v>
      </c>
      <c r="D328" s="5">
        <v>-34</v>
      </c>
      <c r="E328" s="5">
        <v>-2</v>
      </c>
      <c r="F328" s="3">
        <v>590</v>
      </c>
      <c r="G328" s="7">
        <v>1.7526999999999999</v>
      </c>
      <c r="H328">
        <v>19</v>
      </c>
    </row>
    <row r="329" spans="1:8">
      <c r="A329" s="4">
        <v>46188</v>
      </c>
      <c r="B329" s="5">
        <v>0</v>
      </c>
      <c r="C329" s="5">
        <v>0</v>
      </c>
      <c r="D329" s="5">
        <v>-15</v>
      </c>
      <c r="E329" s="5">
        <v>-3</v>
      </c>
      <c r="F329" s="3">
        <v>462</v>
      </c>
      <c r="G329" s="7">
        <v>1.1544000000000001</v>
      </c>
      <c r="H329">
        <v>16</v>
      </c>
    </row>
    <row r="330" spans="1:8">
      <c r="A330" s="4">
        <v>46189</v>
      </c>
      <c r="B330" s="5">
        <v>0</v>
      </c>
      <c r="C330" s="5">
        <v>0</v>
      </c>
      <c r="D330" s="5">
        <v>-14</v>
      </c>
      <c r="E330" s="5">
        <v>-2</v>
      </c>
      <c r="F330" s="3">
        <v>480</v>
      </c>
      <c r="G330" s="7">
        <v>1.1884999999999999</v>
      </c>
      <c r="H330">
        <v>17</v>
      </c>
    </row>
    <row r="331" spans="1:8">
      <c r="A331" s="4">
        <v>46190</v>
      </c>
      <c r="B331" s="5">
        <v>1</v>
      </c>
      <c r="C331" s="5">
        <v>0</v>
      </c>
      <c r="D331" s="5">
        <v>-14</v>
      </c>
      <c r="E331" s="5">
        <v>-6</v>
      </c>
      <c r="F331" s="3">
        <v>435</v>
      </c>
      <c r="G331" s="7">
        <v>1.1049</v>
      </c>
      <c r="H331">
        <v>16</v>
      </c>
    </row>
    <row r="332" spans="1:8">
      <c r="A332" s="4">
        <v>46191</v>
      </c>
      <c r="B332" s="5">
        <v>0</v>
      </c>
      <c r="C332" s="5">
        <v>0</v>
      </c>
      <c r="D332" s="5">
        <v>-23</v>
      </c>
      <c r="E332" s="5">
        <v>-1</v>
      </c>
      <c r="F332" s="3">
        <v>581</v>
      </c>
      <c r="G332" s="7">
        <v>1.4384999999999999</v>
      </c>
      <c r="H332">
        <v>18</v>
      </c>
    </row>
    <row r="333" spans="1:8">
      <c r="A333" s="4">
        <v>46192</v>
      </c>
      <c r="B333" s="5">
        <v>0</v>
      </c>
      <c r="C333" s="5">
        <v>0</v>
      </c>
      <c r="D333" s="5">
        <v>-3</v>
      </c>
      <c r="E333" s="5">
        <v>-3</v>
      </c>
      <c r="F333" s="3">
        <v>494</v>
      </c>
      <c r="G333" s="7">
        <v>1.218</v>
      </c>
      <c r="H333">
        <v>17</v>
      </c>
    </row>
    <row r="334" spans="1:8">
      <c r="A334" s="4">
        <v>46193</v>
      </c>
      <c r="B334" s="5">
        <v>0</v>
      </c>
      <c r="C334" s="5">
        <v>1</v>
      </c>
      <c r="D334" s="5">
        <v>1</v>
      </c>
      <c r="E334" s="5">
        <v>-1</v>
      </c>
      <c r="F334" s="3">
        <v>584</v>
      </c>
      <c r="G334" s="7">
        <v>1.4621</v>
      </c>
      <c r="H334">
        <v>17</v>
      </c>
    </row>
    <row r="335" spans="1:8">
      <c r="A335" s="4">
        <v>46194</v>
      </c>
      <c r="B335" s="5">
        <v>0</v>
      </c>
      <c r="C335" s="5">
        <v>0</v>
      </c>
      <c r="D335" s="5">
        <v>-2</v>
      </c>
      <c r="E335" s="5">
        <v>-3</v>
      </c>
      <c r="F335" s="3">
        <v>571</v>
      </c>
      <c r="G335" s="7">
        <v>1.4495</v>
      </c>
      <c r="H335">
        <v>18</v>
      </c>
    </row>
    <row r="336" spans="1:8">
      <c r="A336" s="4">
        <v>46195</v>
      </c>
      <c r="B336" s="5">
        <v>0</v>
      </c>
      <c r="C336" s="5">
        <v>1</v>
      </c>
      <c r="D336" s="5">
        <v>-13</v>
      </c>
      <c r="E336" s="5">
        <v>-14</v>
      </c>
      <c r="F336" s="3">
        <v>570</v>
      </c>
      <c r="G336" s="7">
        <v>1.5098</v>
      </c>
      <c r="H336">
        <v>18</v>
      </c>
    </row>
    <row r="337" spans="1:8">
      <c r="A337" s="4">
        <v>46196</v>
      </c>
      <c r="B337" s="5">
        <v>0</v>
      </c>
      <c r="C337" s="5">
        <v>0</v>
      </c>
      <c r="D337" s="5">
        <v>-113</v>
      </c>
      <c r="E337" s="5">
        <v>-7</v>
      </c>
      <c r="F337" s="3">
        <v>564</v>
      </c>
      <c r="G337" s="7">
        <v>1.4470000000000001</v>
      </c>
      <c r="H337">
        <v>17</v>
      </c>
    </row>
    <row r="338" spans="1:8">
      <c r="A338" s="4">
        <v>46197</v>
      </c>
      <c r="B338" s="5">
        <v>0</v>
      </c>
      <c r="C338" s="5">
        <v>0</v>
      </c>
      <c r="D338" s="5">
        <v>-3</v>
      </c>
      <c r="E338" s="5">
        <v>-8</v>
      </c>
      <c r="F338" s="3">
        <v>483</v>
      </c>
      <c r="G338" s="7">
        <v>1.2330000000000001</v>
      </c>
      <c r="H338">
        <v>17</v>
      </c>
    </row>
    <row r="339" spans="1:8">
      <c r="A339" s="4">
        <v>46198</v>
      </c>
      <c r="B339" s="5">
        <v>0</v>
      </c>
      <c r="C339" s="5">
        <v>0</v>
      </c>
      <c r="D339" s="5">
        <v>2</v>
      </c>
      <c r="E339" s="5">
        <v>-3</v>
      </c>
      <c r="F339" s="3">
        <v>618</v>
      </c>
      <c r="G339" s="7">
        <v>1.6564000000000001</v>
      </c>
      <c r="H339">
        <v>18</v>
      </c>
    </row>
    <row r="340" spans="1:8">
      <c r="A340" s="4">
        <v>46199</v>
      </c>
      <c r="B340" s="5">
        <v>0</v>
      </c>
      <c r="C340" s="5">
        <v>0</v>
      </c>
      <c r="D340" s="5">
        <v>-6</v>
      </c>
      <c r="E340" s="5">
        <v>-3</v>
      </c>
      <c r="F340" s="3">
        <v>607</v>
      </c>
      <c r="G340" s="7">
        <v>1.5408999999999999</v>
      </c>
      <c r="H340">
        <v>17</v>
      </c>
    </row>
    <row r="341" spans="1:8">
      <c r="A341" s="4">
        <v>46200</v>
      </c>
      <c r="B341" s="5">
        <v>0</v>
      </c>
      <c r="C341" s="5">
        <v>1</v>
      </c>
      <c r="D341" s="5">
        <v>3</v>
      </c>
      <c r="E341" s="5">
        <v>-6</v>
      </c>
      <c r="F341" s="3">
        <v>616</v>
      </c>
      <c r="G341" s="7">
        <v>1.5477000000000001</v>
      </c>
      <c r="H341">
        <v>17</v>
      </c>
    </row>
    <row r="342" spans="1:8">
      <c r="A342" s="4">
        <v>46201</v>
      </c>
      <c r="B342" s="5">
        <v>0</v>
      </c>
      <c r="C342" s="5">
        <v>0</v>
      </c>
      <c r="D342" s="5">
        <v>-9</v>
      </c>
      <c r="E342" s="5">
        <v>-3</v>
      </c>
      <c r="F342" s="3">
        <v>630</v>
      </c>
      <c r="G342" s="7">
        <v>1.5569999999999999</v>
      </c>
      <c r="H342">
        <v>16</v>
      </c>
    </row>
    <row r="343" spans="1:8">
      <c r="A343" s="4">
        <v>46202</v>
      </c>
      <c r="B343" s="5">
        <v>0</v>
      </c>
      <c r="C343" s="5">
        <v>0</v>
      </c>
      <c r="D343" s="5">
        <v>-96</v>
      </c>
      <c r="E343" s="5">
        <v>-2</v>
      </c>
      <c r="F343" s="3">
        <v>526</v>
      </c>
      <c r="G343" s="7">
        <v>1.3813</v>
      </c>
      <c r="H343">
        <v>17</v>
      </c>
    </row>
    <row r="344" spans="1:8">
      <c r="A344" s="4">
        <v>46203</v>
      </c>
      <c r="B344" s="5">
        <v>2</v>
      </c>
      <c r="C344" s="5">
        <v>0</v>
      </c>
      <c r="D344" s="5">
        <v>-6</v>
      </c>
      <c r="E344" s="5">
        <v>-7</v>
      </c>
      <c r="F344" s="3">
        <v>595</v>
      </c>
      <c r="G344" s="7">
        <v>1.5156000000000001</v>
      </c>
      <c r="H344">
        <v>17</v>
      </c>
    </row>
    <row r="345" spans="1:8">
      <c r="A345" s="4">
        <v>46204</v>
      </c>
      <c r="B345" s="5">
        <v>0</v>
      </c>
      <c r="C345" s="5">
        <v>0</v>
      </c>
      <c r="D345" s="5">
        <v>-79</v>
      </c>
      <c r="E345" s="5">
        <v>-8</v>
      </c>
      <c r="F345" s="3">
        <v>527</v>
      </c>
      <c r="G345" s="7">
        <v>1.4272</v>
      </c>
      <c r="H345">
        <v>18</v>
      </c>
    </row>
    <row r="346" spans="1:8">
      <c r="A346" s="4">
        <v>46205</v>
      </c>
      <c r="B346" s="5">
        <v>0</v>
      </c>
      <c r="C346" s="5">
        <v>1</v>
      </c>
      <c r="D346" s="5">
        <v>-17</v>
      </c>
      <c r="E346" s="5">
        <v>-5</v>
      </c>
      <c r="F346" s="3">
        <v>551</v>
      </c>
      <c r="G346" s="7">
        <v>1.2625</v>
      </c>
      <c r="H346">
        <v>16</v>
      </c>
    </row>
    <row r="347" spans="1:8">
      <c r="A347" s="4">
        <v>46206</v>
      </c>
      <c r="B347" s="5">
        <v>0</v>
      </c>
      <c r="C347" s="5">
        <v>0</v>
      </c>
      <c r="D347" s="5">
        <v>18</v>
      </c>
      <c r="E347" s="5">
        <v>-1</v>
      </c>
      <c r="F347" s="3">
        <v>526</v>
      </c>
      <c r="G347" s="7">
        <v>1.4883999999999999</v>
      </c>
      <c r="H347">
        <v>19</v>
      </c>
    </row>
    <row r="348" spans="1:8">
      <c r="A348" s="4">
        <v>46207</v>
      </c>
      <c r="B348" s="5">
        <v>0</v>
      </c>
      <c r="C348" s="5">
        <v>0</v>
      </c>
      <c r="D348" s="5">
        <v>-32</v>
      </c>
      <c r="E348" s="5">
        <v>-10</v>
      </c>
      <c r="F348" s="3">
        <v>529</v>
      </c>
      <c r="G348" s="7">
        <v>1.2831999999999999</v>
      </c>
      <c r="H348">
        <v>15</v>
      </c>
    </row>
    <row r="349" spans="1:8">
      <c r="A349" s="4">
        <v>46208</v>
      </c>
      <c r="B349" s="5">
        <v>0</v>
      </c>
      <c r="C349" s="5">
        <v>0</v>
      </c>
      <c r="D349" s="5">
        <v>-17</v>
      </c>
      <c r="E349" s="5">
        <v>-3</v>
      </c>
      <c r="F349" s="3">
        <v>582</v>
      </c>
      <c r="G349" s="7">
        <v>1.3956</v>
      </c>
      <c r="H349">
        <v>15</v>
      </c>
    </row>
    <row r="350" spans="1:8">
      <c r="A350" s="4">
        <v>46209</v>
      </c>
      <c r="B350" s="5">
        <v>0</v>
      </c>
      <c r="C350" s="5">
        <v>0</v>
      </c>
      <c r="D350" s="5">
        <v>-69</v>
      </c>
      <c r="E350" s="5">
        <v>-14</v>
      </c>
      <c r="F350" s="3">
        <v>470</v>
      </c>
      <c r="G350" s="7">
        <v>1.2877000000000001</v>
      </c>
      <c r="H350">
        <v>16</v>
      </c>
    </row>
    <row r="351" spans="1:8">
      <c r="A351" s="4">
        <v>46210</v>
      </c>
      <c r="B351" s="5">
        <v>0</v>
      </c>
      <c r="C351" s="5">
        <v>1</v>
      </c>
      <c r="D351" s="5">
        <v>2</v>
      </c>
      <c r="E351" s="5">
        <v>-7</v>
      </c>
      <c r="F351" s="3">
        <v>554</v>
      </c>
      <c r="G351" s="7">
        <v>1.3449</v>
      </c>
      <c r="H351">
        <v>16</v>
      </c>
    </row>
    <row r="352" spans="1:8">
      <c r="A352" s="4">
        <v>46211</v>
      </c>
      <c r="B352" s="5">
        <v>0</v>
      </c>
      <c r="C352" s="5">
        <v>0</v>
      </c>
      <c r="D352" s="5">
        <v>1</v>
      </c>
      <c r="E352" s="5">
        <v>-3</v>
      </c>
      <c r="F352" s="3">
        <v>601</v>
      </c>
      <c r="G352" s="7">
        <v>1.9639</v>
      </c>
      <c r="H352">
        <v>21</v>
      </c>
    </row>
    <row r="353" spans="1:8">
      <c r="A353" s="4">
        <v>46212</v>
      </c>
      <c r="B353" s="5">
        <v>1</v>
      </c>
      <c r="C353" s="5">
        <v>4</v>
      </c>
      <c r="D353" s="5">
        <v>-11</v>
      </c>
      <c r="E353" s="5">
        <v>-1</v>
      </c>
      <c r="F353" s="3">
        <v>613</v>
      </c>
      <c r="G353" s="7">
        <v>1.4651000000000001</v>
      </c>
      <c r="H353">
        <v>17</v>
      </c>
    </row>
    <row r="354" spans="1:8">
      <c r="A354" s="4">
        <v>46213</v>
      </c>
      <c r="B354" s="5">
        <v>0</v>
      </c>
      <c r="C354" s="5">
        <v>0</v>
      </c>
      <c r="D354" s="5">
        <v>-27</v>
      </c>
      <c r="E354" s="5">
        <v>-4</v>
      </c>
      <c r="F354" s="3">
        <v>599</v>
      </c>
      <c r="G354" s="7">
        <v>1.5402</v>
      </c>
      <c r="H354">
        <v>17</v>
      </c>
    </row>
    <row r="355" spans="1:8">
      <c r="A355" s="4">
        <v>46214</v>
      </c>
      <c r="B355" s="5">
        <v>1</v>
      </c>
      <c r="C355" s="5">
        <v>0</v>
      </c>
      <c r="D355" s="5">
        <v>-10</v>
      </c>
      <c r="E355" s="5">
        <v>-3</v>
      </c>
      <c r="F355" s="3">
        <v>708</v>
      </c>
      <c r="G355" s="7">
        <v>1.7924</v>
      </c>
      <c r="H355">
        <v>18</v>
      </c>
    </row>
    <row r="356" spans="1:8">
      <c r="A356" s="4">
        <v>46215</v>
      </c>
      <c r="B356" s="5">
        <v>2</v>
      </c>
      <c r="C356" s="5">
        <v>0</v>
      </c>
      <c r="D356" s="5">
        <v>-24</v>
      </c>
      <c r="E356" s="5">
        <v>-2</v>
      </c>
      <c r="F356" s="3">
        <v>698</v>
      </c>
      <c r="G356" s="7">
        <v>1.6689000000000001</v>
      </c>
      <c r="H356">
        <v>16</v>
      </c>
    </row>
    <row r="357" spans="1:8">
      <c r="A357" s="4">
        <v>46216</v>
      </c>
      <c r="B357" s="5">
        <v>0</v>
      </c>
      <c r="C357" s="5">
        <v>0</v>
      </c>
      <c r="D357" s="5">
        <v>-15</v>
      </c>
      <c r="E357" s="5">
        <v>-5</v>
      </c>
      <c r="F357" s="3">
        <v>612</v>
      </c>
      <c r="G357" s="7">
        <v>1.5019</v>
      </c>
      <c r="H357">
        <v>17</v>
      </c>
    </row>
    <row r="358" spans="1:8">
      <c r="A358" s="4">
        <v>46217</v>
      </c>
      <c r="B358" s="5">
        <v>0</v>
      </c>
      <c r="C358" s="5">
        <v>2</v>
      </c>
      <c r="D358" s="5">
        <v>-16</v>
      </c>
      <c r="E358" s="5">
        <v>0</v>
      </c>
      <c r="F358" s="3">
        <v>517</v>
      </c>
      <c r="G358" s="7">
        <v>1.411</v>
      </c>
      <c r="H358">
        <v>17</v>
      </c>
    </row>
    <row r="359" spans="1:8">
      <c r="A359" s="4">
        <v>46218</v>
      </c>
      <c r="B359" s="5">
        <v>0</v>
      </c>
      <c r="C359" s="5">
        <v>0</v>
      </c>
      <c r="D359" s="5">
        <v>-8</v>
      </c>
      <c r="E359" s="5">
        <v>-2</v>
      </c>
      <c r="F359" s="3">
        <v>562</v>
      </c>
      <c r="G359" s="7">
        <v>1.6064000000000001</v>
      </c>
      <c r="H359">
        <v>17</v>
      </c>
    </row>
    <row r="360" spans="1:8">
      <c r="A360" s="4">
        <v>46219</v>
      </c>
      <c r="B360" s="5">
        <v>1</v>
      </c>
      <c r="C360" s="5">
        <v>1</v>
      </c>
      <c r="D360" s="5">
        <v>-10</v>
      </c>
      <c r="E360" s="5">
        <v>-2</v>
      </c>
      <c r="F360" s="3">
        <v>549</v>
      </c>
      <c r="G360" s="7">
        <v>1.593</v>
      </c>
      <c r="H360">
        <v>18</v>
      </c>
    </row>
    <row r="361" spans="1:8">
      <c r="A361" s="4">
        <v>46220</v>
      </c>
      <c r="B361" s="5">
        <v>0</v>
      </c>
      <c r="C361" s="5">
        <v>0</v>
      </c>
      <c r="D361" s="5">
        <v>0</v>
      </c>
      <c r="E361" s="5">
        <v>-1</v>
      </c>
      <c r="F361" s="3">
        <v>652</v>
      </c>
      <c r="G361" s="7">
        <v>1.6962999999999999</v>
      </c>
      <c r="H361">
        <v>17</v>
      </c>
    </row>
    <row r="362" spans="1:8">
      <c r="A362" s="4">
        <v>46221</v>
      </c>
      <c r="B362" s="5">
        <v>1</v>
      </c>
      <c r="C362" s="5">
        <v>0</v>
      </c>
      <c r="D362" s="5">
        <v>-2</v>
      </c>
      <c r="E362" s="5">
        <v>-6</v>
      </c>
      <c r="F362" s="3">
        <v>626</v>
      </c>
      <c r="G362" s="7">
        <v>1.6645000000000001</v>
      </c>
      <c r="H362">
        <v>17</v>
      </c>
    </row>
    <row r="363" spans="1:8">
      <c r="A363" s="4">
        <v>46222</v>
      </c>
      <c r="B363" s="5">
        <v>0</v>
      </c>
      <c r="C363" s="5">
        <v>0</v>
      </c>
      <c r="D363" s="5">
        <v>-19</v>
      </c>
      <c r="E363" s="5">
        <v>-7</v>
      </c>
      <c r="F363" s="3">
        <v>576</v>
      </c>
      <c r="G363" s="7">
        <v>1.5665</v>
      </c>
      <c r="H363">
        <v>16</v>
      </c>
    </row>
    <row r="364" spans="1:8">
      <c r="A364" s="4">
        <v>46223</v>
      </c>
      <c r="B364" s="5">
        <v>1</v>
      </c>
      <c r="C364" s="5">
        <v>0</v>
      </c>
      <c r="D364" s="5">
        <v>-31</v>
      </c>
      <c r="E364" s="5">
        <v>-5</v>
      </c>
      <c r="F364" s="3">
        <v>619</v>
      </c>
      <c r="G364" s="7">
        <v>1.5238</v>
      </c>
      <c r="H364">
        <v>16</v>
      </c>
    </row>
    <row r="365" spans="1:8">
      <c r="A365" s="4">
        <v>46224</v>
      </c>
      <c r="B365" s="5">
        <v>0</v>
      </c>
      <c r="C365" s="5">
        <v>0</v>
      </c>
      <c r="D365" s="5">
        <v>-36</v>
      </c>
      <c r="E365" s="5">
        <v>0</v>
      </c>
      <c r="F365" s="3">
        <v>657</v>
      </c>
      <c r="G365" s="7">
        <v>1.7290000000000001</v>
      </c>
      <c r="H365">
        <v>18</v>
      </c>
    </row>
    <row r="366" spans="1:8">
      <c r="A366" s="4">
        <v>46225</v>
      </c>
      <c r="B366" s="5">
        <v>0</v>
      </c>
      <c r="C366" s="5">
        <v>0</v>
      </c>
      <c r="D366" s="5">
        <v>-6</v>
      </c>
      <c r="E366" s="5">
        <v>-1</v>
      </c>
      <c r="F366" s="3">
        <v>606</v>
      </c>
      <c r="G366" s="7">
        <v>1.5278</v>
      </c>
      <c r="H366">
        <v>16</v>
      </c>
    </row>
    <row r="367" spans="1:8">
      <c r="A367" s="4">
        <v>46226</v>
      </c>
      <c r="B367" s="5">
        <v>0</v>
      </c>
      <c r="C367" s="5">
        <v>0</v>
      </c>
      <c r="D367" s="5">
        <v>-21</v>
      </c>
      <c r="E367" s="5">
        <v>-2</v>
      </c>
      <c r="F367" s="3">
        <v>635</v>
      </c>
      <c r="G367" s="7">
        <v>1.6338999999999999</v>
      </c>
      <c r="H367">
        <v>16</v>
      </c>
    </row>
    <row r="368" spans="1:8">
      <c r="A368" s="4">
        <v>46227</v>
      </c>
      <c r="B368" s="5">
        <v>1</v>
      </c>
      <c r="C368" s="5">
        <v>0</v>
      </c>
      <c r="D368" s="5">
        <v>0</v>
      </c>
      <c r="E368" s="5">
        <v>-3</v>
      </c>
      <c r="F368" s="3">
        <v>705</v>
      </c>
      <c r="G368" s="7">
        <v>1.8374999999999999</v>
      </c>
      <c r="H368">
        <v>16</v>
      </c>
    </row>
    <row r="369" spans="1:8">
      <c r="A369" s="4">
        <v>46228</v>
      </c>
      <c r="B369" s="5">
        <v>0</v>
      </c>
      <c r="C369" s="5">
        <v>1</v>
      </c>
      <c r="D369" s="5">
        <v>-36</v>
      </c>
      <c r="E369" s="5">
        <v>-3</v>
      </c>
      <c r="F369" s="3">
        <v>794</v>
      </c>
      <c r="G369" s="7">
        <v>2.0451999999999999</v>
      </c>
      <c r="H369">
        <v>17</v>
      </c>
    </row>
    <row r="370" spans="1:8">
      <c r="A370" s="4">
        <v>46229</v>
      </c>
      <c r="B370" s="5">
        <v>0</v>
      </c>
      <c r="C370" s="5">
        <v>1</v>
      </c>
      <c r="D370" s="5">
        <v>-51</v>
      </c>
      <c r="E370" s="5">
        <v>-4</v>
      </c>
      <c r="F370" s="3">
        <v>811</v>
      </c>
      <c r="G370" s="7">
        <v>2.177</v>
      </c>
      <c r="H370">
        <v>16</v>
      </c>
    </row>
    <row r="371" spans="1:8">
      <c r="A371" s="4">
        <v>46230</v>
      </c>
      <c r="B371" s="5">
        <v>0</v>
      </c>
      <c r="C371" s="5">
        <v>0</v>
      </c>
      <c r="D371" s="5">
        <v>-15</v>
      </c>
      <c r="E371" s="5">
        <v>-4</v>
      </c>
      <c r="F371" s="3">
        <v>787</v>
      </c>
      <c r="G371" s="7">
        <v>2.0118</v>
      </c>
      <c r="H371">
        <v>16</v>
      </c>
    </row>
    <row r="372" spans="1:8">
      <c r="A372" s="4">
        <v>46231</v>
      </c>
      <c r="B372" s="5">
        <v>0</v>
      </c>
      <c r="C372" s="5">
        <v>0</v>
      </c>
      <c r="D372" s="5">
        <v>-6</v>
      </c>
      <c r="E372" s="5">
        <v>-1</v>
      </c>
      <c r="F372" s="3">
        <v>748</v>
      </c>
      <c r="G372" s="7">
        <v>1.9996</v>
      </c>
      <c r="H372">
        <v>17</v>
      </c>
    </row>
    <row r="373" spans="1:8">
      <c r="A373" s="4">
        <v>46232</v>
      </c>
      <c r="B373" s="5">
        <v>1</v>
      </c>
      <c r="C373" s="5">
        <v>0</v>
      </c>
      <c r="D373" s="5">
        <v>2</v>
      </c>
      <c r="E373" s="5">
        <v>0</v>
      </c>
      <c r="F373" s="3">
        <v>745</v>
      </c>
      <c r="G373" s="7">
        <v>1.9232</v>
      </c>
      <c r="H373">
        <v>17</v>
      </c>
    </row>
    <row r="374" spans="1:8">
      <c r="A374" s="4">
        <v>46233</v>
      </c>
      <c r="B374" s="5">
        <v>0</v>
      </c>
      <c r="C374" s="5">
        <v>0</v>
      </c>
      <c r="D374" s="5">
        <v>-28</v>
      </c>
      <c r="E374" s="5">
        <v>-2</v>
      </c>
      <c r="F374" s="3">
        <v>791</v>
      </c>
      <c r="G374" s="7">
        <v>2.101</v>
      </c>
      <c r="H374">
        <v>17</v>
      </c>
    </row>
    <row r="375" spans="1:8">
      <c r="A375" s="4">
        <v>46234</v>
      </c>
      <c r="B375" s="5">
        <v>0</v>
      </c>
      <c r="C375" s="5">
        <v>0</v>
      </c>
      <c r="D375" s="5">
        <v>-8</v>
      </c>
      <c r="E375" s="5">
        <v>-7</v>
      </c>
      <c r="F375" s="3">
        <v>712</v>
      </c>
      <c r="G375" s="7">
        <v>2.0920999999999998</v>
      </c>
      <c r="H375">
        <v>18</v>
      </c>
    </row>
    <row r="376" spans="1:8">
      <c r="A376" s="4">
        <v>46235</v>
      </c>
      <c r="B376" s="5">
        <v>1</v>
      </c>
      <c r="C376" s="5">
        <v>1</v>
      </c>
      <c r="D376" s="5">
        <v>0</v>
      </c>
      <c r="E376" s="5">
        <v>-2</v>
      </c>
      <c r="F376" s="3">
        <v>743</v>
      </c>
      <c r="G376" s="7">
        <v>1.9643999999999999</v>
      </c>
      <c r="H376">
        <v>17</v>
      </c>
    </row>
    <row r="377" spans="1:8">
      <c r="A377" s="4">
        <v>46236</v>
      </c>
      <c r="B377" s="5">
        <v>0</v>
      </c>
      <c r="C377" s="5">
        <v>0</v>
      </c>
      <c r="D377" s="5">
        <v>-4</v>
      </c>
      <c r="E377" s="5">
        <v>0</v>
      </c>
      <c r="F377" s="3">
        <v>723</v>
      </c>
      <c r="G377" s="7">
        <v>1.9056</v>
      </c>
      <c r="H377">
        <v>17</v>
      </c>
    </row>
    <row r="378" spans="1:8">
      <c r="A378" s="4">
        <v>46237</v>
      </c>
      <c r="B378" s="5">
        <v>1</v>
      </c>
      <c r="C378" s="5">
        <v>0</v>
      </c>
      <c r="D378" s="5">
        <v>-46</v>
      </c>
      <c r="E378" s="5">
        <v>-8</v>
      </c>
      <c r="F378" s="3">
        <v>652</v>
      </c>
      <c r="G378" s="7">
        <v>1.7333000000000001</v>
      </c>
      <c r="H378">
        <v>16</v>
      </c>
    </row>
    <row r="379" spans="1:8">
      <c r="A379" s="4">
        <v>46238</v>
      </c>
      <c r="B379" s="5">
        <v>0</v>
      </c>
      <c r="C379" s="5">
        <v>0</v>
      </c>
      <c r="D379" s="5">
        <v>-31</v>
      </c>
      <c r="E379" s="5">
        <v>-2</v>
      </c>
      <c r="F379" s="3">
        <v>752</v>
      </c>
      <c r="G379" s="7">
        <v>1.9807999999999999</v>
      </c>
      <c r="H379">
        <v>17</v>
      </c>
    </row>
    <row r="380" spans="1:8">
      <c r="A380" s="4">
        <v>46239</v>
      </c>
      <c r="B380" s="5">
        <v>0</v>
      </c>
      <c r="C380" s="5">
        <v>0</v>
      </c>
      <c r="D380" s="5">
        <v>-1</v>
      </c>
      <c r="E380" s="5">
        <v>-2</v>
      </c>
      <c r="F380" s="3">
        <v>622</v>
      </c>
      <c r="G380" s="7">
        <v>1.6581999999999999</v>
      </c>
      <c r="H380">
        <v>16</v>
      </c>
    </row>
    <row r="381" spans="1:8">
      <c r="A381" s="4">
        <v>46240</v>
      </c>
      <c r="B381" s="5">
        <v>0</v>
      </c>
      <c r="C381" s="5">
        <v>0</v>
      </c>
      <c r="D381" s="5">
        <v>-12</v>
      </c>
      <c r="E381" s="5">
        <v>-4</v>
      </c>
      <c r="F381" s="3">
        <v>633</v>
      </c>
      <c r="G381" s="7">
        <v>1.6718999999999999</v>
      </c>
      <c r="H381">
        <v>16</v>
      </c>
    </row>
    <row r="382" spans="1:8">
      <c r="A382" s="4">
        <v>46241</v>
      </c>
      <c r="B382" s="5">
        <v>0</v>
      </c>
      <c r="C382" s="5">
        <v>0</v>
      </c>
      <c r="D382" s="5">
        <v>-35</v>
      </c>
      <c r="E382" s="5">
        <v>-7</v>
      </c>
      <c r="F382" s="3">
        <v>906</v>
      </c>
      <c r="G382" s="7">
        <v>2.5486</v>
      </c>
      <c r="H382">
        <v>18</v>
      </c>
    </row>
    <row r="383" spans="1:8">
      <c r="A383" s="4">
        <v>46242</v>
      </c>
      <c r="B383" s="5">
        <v>0</v>
      </c>
      <c r="C383" s="5">
        <v>0</v>
      </c>
      <c r="D383" s="5">
        <v>4</v>
      </c>
      <c r="E383" s="5">
        <v>-2</v>
      </c>
      <c r="F383" s="3">
        <v>965</v>
      </c>
      <c r="G383" s="7">
        <v>2.5971000000000002</v>
      </c>
      <c r="H383">
        <v>17</v>
      </c>
    </row>
    <row r="384" spans="1:8">
      <c r="A384" s="4">
        <v>46243</v>
      </c>
      <c r="B384" s="5">
        <v>0</v>
      </c>
      <c r="C384" s="5">
        <v>0</v>
      </c>
      <c r="D384" s="5">
        <v>3</v>
      </c>
      <c r="E384" s="5">
        <v>-3</v>
      </c>
      <c r="F384" s="3">
        <v>851</v>
      </c>
      <c r="G384" s="7">
        <v>2.3222</v>
      </c>
      <c r="H384">
        <v>16</v>
      </c>
    </row>
    <row r="385" spans="1:8">
      <c r="A385" s="4">
        <v>46244</v>
      </c>
      <c r="B385" s="5">
        <v>0</v>
      </c>
      <c r="C385" s="5">
        <v>0</v>
      </c>
      <c r="D385" s="5">
        <v>1</v>
      </c>
      <c r="E385" s="5">
        <v>-4</v>
      </c>
      <c r="F385" s="3">
        <v>891</v>
      </c>
      <c r="G385" s="7">
        <v>2.3487</v>
      </c>
      <c r="H385">
        <v>17</v>
      </c>
    </row>
    <row r="386" spans="1:8">
      <c r="A386" s="4">
        <v>46245</v>
      </c>
      <c r="B386" s="5">
        <v>1</v>
      </c>
      <c r="C386" s="5">
        <v>1</v>
      </c>
      <c r="D386" s="5">
        <v>5</v>
      </c>
      <c r="E386" s="5">
        <v>-7</v>
      </c>
      <c r="F386" s="3">
        <v>810</v>
      </c>
      <c r="G386" s="7">
        <v>2.2894999999999999</v>
      </c>
      <c r="H386">
        <v>17</v>
      </c>
    </row>
    <row r="387" spans="1:8">
      <c r="A387" s="4">
        <v>46246</v>
      </c>
      <c r="B387" s="5">
        <v>0</v>
      </c>
      <c r="C387" s="5">
        <v>0</v>
      </c>
      <c r="D387" s="5">
        <v>-16</v>
      </c>
      <c r="E387" s="5">
        <v>-3</v>
      </c>
      <c r="F387" s="3">
        <v>857</v>
      </c>
      <c r="G387" s="7">
        <v>2.3814000000000002</v>
      </c>
      <c r="H387">
        <v>18</v>
      </c>
    </row>
    <row r="388" spans="1:8">
      <c r="A388" s="4">
        <v>46247</v>
      </c>
      <c r="B388" s="5">
        <v>0</v>
      </c>
      <c r="C388" s="5">
        <v>1</v>
      </c>
      <c r="D388" s="5">
        <v>-113</v>
      </c>
      <c r="E388" s="5">
        <v>-3</v>
      </c>
      <c r="F388" s="3">
        <v>789</v>
      </c>
      <c r="G388" s="7">
        <v>2.1884999999999999</v>
      </c>
      <c r="H388">
        <v>18</v>
      </c>
    </row>
    <row r="389" spans="1:8">
      <c r="A389" s="4">
        <v>46248</v>
      </c>
      <c r="B389" s="5">
        <v>1</v>
      </c>
      <c r="C389" s="5">
        <v>1</v>
      </c>
      <c r="D389" s="5">
        <v>1</v>
      </c>
      <c r="E389" s="5">
        <v>-2</v>
      </c>
      <c r="F389" s="3">
        <v>698</v>
      </c>
      <c r="G389" s="7">
        <v>1.8401000000000001</v>
      </c>
      <c r="H389">
        <v>16</v>
      </c>
    </row>
    <row r="390" spans="1:8">
      <c r="A390" s="4">
        <v>46249</v>
      </c>
      <c r="B390" s="5">
        <v>0</v>
      </c>
      <c r="C390" s="5">
        <v>1</v>
      </c>
      <c r="D390" s="5">
        <v>5</v>
      </c>
      <c r="E390" s="5">
        <v>-1</v>
      </c>
      <c r="F390" s="3">
        <v>779</v>
      </c>
      <c r="G390" s="7">
        <v>2.2786</v>
      </c>
      <c r="H390">
        <v>19</v>
      </c>
    </row>
    <row r="391" spans="1:8">
      <c r="A391" s="4">
        <v>46250</v>
      </c>
      <c r="B391" s="5">
        <v>0</v>
      </c>
      <c r="C391" s="5">
        <v>0</v>
      </c>
      <c r="D391" s="5">
        <v>-64</v>
      </c>
      <c r="E391" s="5">
        <v>-7</v>
      </c>
      <c r="F391" s="3">
        <v>687</v>
      </c>
      <c r="G391" s="7">
        <v>3.0657999999999999</v>
      </c>
      <c r="H391">
        <v>27</v>
      </c>
    </row>
    <row r="392" spans="1:8">
      <c r="A392" s="4">
        <v>46251</v>
      </c>
      <c r="B392" s="5">
        <v>1</v>
      </c>
      <c r="C392" s="5">
        <v>0</v>
      </c>
      <c r="D392" s="5">
        <v>-7</v>
      </c>
      <c r="E392" s="5">
        <v>-2</v>
      </c>
      <c r="F392" s="3">
        <v>597</v>
      </c>
      <c r="G392" s="7">
        <v>1.6075999999999999</v>
      </c>
      <c r="H392">
        <v>17</v>
      </c>
    </row>
    <row r="393" spans="1:8">
      <c r="A393" s="4">
        <v>46252</v>
      </c>
      <c r="B393" s="5">
        <v>0</v>
      </c>
      <c r="C393" s="5">
        <v>0</v>
      </c>
      <c r="D393" s="5">
        <v>5</v>
      </c>
      <c r="E393" s="5">
        <v>-1</v>
      </c>
      <c r="F393" s="3">
        <v>602</v>
      </c>
      <c r="G393" s="7">
        <v>1.5878000000000001</v>
      </c>
      <c r="H393">
        <v>16</v>
      </c>
    </row>
    <row r="394" spans="1:8">
      <c r="A394" s="4">
        <v>46253</v>
      </c>
      <c r="B394" s="5">
        <v>0</v>
      </c>
      <c r="C394" s="5">
        <v>0</v>
      </c>
      <c r="D394" s="5">
        <v>-2</v>
      </c>
      <c r="E394" s="5">
        <v>-2</v>
      </c>
      <c r="F394" s="3">
        <v>634</v>
      </c>
      <c r="G394" s="7">
        <v>1.6868000000000001</v>
      </c>
      <c r="H394">
        <v>16</v>
      </c>
    </row>
    <row r="395" spans="1:8">
      <c r="A395" s="4">
        <v>46254</v>
      </c>
      <c r="B395" s="5">
        <v>0</v>
      </c>
      <c r="C395" s="5">
        <v>0</v>
      </c>
      <c r="D395" s="5">
        <v>-3</v>
      </c>
      <c r="E395" s="5">
        <v>-8</v>
      </c>
      <c r="F395" s="3">
        <v>817</v>
      </c>
      <c r="G395" s="7">
        <v>2.2145000000000001</v>
      </c>
      <c r="H395">
        <v>17</v>
      </c>
    </row>
    <row r="396" spans="1:8">
      <c r="A396" s="4">
        <v>46255</v>
      </c>
      <c r="B396" s="5">
        <v>1</v>
      </c>
      <c r="C396" s="5">
        <v>2</v>
      </c>
      <c r="D396" s="5">
        <v>-52</v>
      </c>
      <c r="E396" s="5">
        <v>-5</v>
      </c>
      <c r="F396" s="3">
        <v>758</v>
      </c>
      <c r="G396" s="7">
        <v>2.0548000000000002</v>
      </c>
      <c r="H396">
        <v>17</v>
      </c>
    </row>
    <row r="397" spans="1:8">
      <c r="A397" s="4">
        <v>46256</v>
      </c>
      <c r="B397" s="5">
        <v>1</v>
      </c>
      <c r="C397" s="5">
        <v>0</v>
      </c>
      <c r="D397" s="5">
        <v>-9</v>
      </c>
      <c r="E397" s="5">
        <v>-4</v>
      </c>
      <c r="F397" s="3">
        <v>818</v>
      </c>
      <c r="G397" s="7">
        <v>2.1495000000000002</v>
      </c>
      <c r="H397">
        <v>16</v>
      </c>
    </row>
    <row r="398" spans="1:8">
      <c r="A398" s="4">
        <v>46257</v>
      </c>
      <c r="B398" s="5">
        <v>0</v>
      </c>
      <c r="C398" s="5">
        <v>0</v>
      </c>
      <c r="D398" s="5">
        <v>-61</v>
      </c>
      <c r="E398" s="5">
        <v>-10</v>
      </c>
      <c r="F398" s="3">
        <v>793</v>
      </c>
      <c r="G398" s="7">
        <v>2.0918000000000001</v>
      </c>
      <c r="H398">
        <v>16</v>
      </c>
    </row>
    <row r="399" spans="1:8">
      <c r="A399" s="4">
        <v>46258</v>
      </c>
      <c r="B399" s="5">
        <v>1</v>
      </c>
      <c r="C399" s="5">
        <v>0</v>
      </c>
      <c r="D399" s="5">
        <v>1</v>
      </c>
      <c r="E399" s="5">
        <v>0</v>
      </c>
      <c r="F399" s="3">
        <v>605</v>
      </c>
      <c r="G399" s="7">
        <v>1.6266</v>
      </c>
      <c r="H399">
        <v>17</v>
      </c>
    </row>
    <row r="400" spans="1:8">
      <c r="A400" s="4">
        <v>46259</v>
      </c>
      <c r="B400" s="5">
        <v>0</v>
      </c>
      <c r="C400" s="5">
        <v>1</v>
      </c>
      <c r="D400" s="5">
        <v>3</v>
      </c>
      <c r="E400" s="5">
        <v>-1</v>
      </c>
      <c r="F400" s="3">
        <v>707</v>
      </c>
      <c r="G400" s="7">
        <v>1.8956</v>
      </c>
      <c r="H400">
        <v>17</v>
      </c>
    </row>
    <row r="401" spans="1:8">
      <c r="A401" s="4">
        <v>46260</v>
      </c>
      <c r="B401" s="5">
        <v>0</v>
      </c>
      <c r="C401" s="5">
        <v>0</v>
      </c>
      <c r="D401" s="5">
        <v>-35</v>
      </c>
      <c r="E401" s="5">
        <v>-4</v>
      </c>
      <c r="F401" s="3">
        <v>613</v>
      </c>
      <c r="G401" s="7">
        <v>1.6521999999999999</v>
      </c>
      <c r="H401">
        <v>16</v>
      </c>
    </row>
    <row r="402" spans="1:8">
      <c r="A402" s="4">
        <v>46261</v>
      </c>
      <c r="B402" s="5">
        <v>0</v>
      </c>
      <c r="C402" s="5">
        <v>0</v>
      </c>
      <c r="D402" s="5">
        <v>-25</v>
      </c>
      <c r="E402" s="5">
        <v>3</v>
      </c>
      <c r="F402" s="3">
        <v>822</v>
      </c>
      <c r="G402" s="7">
        <v>2.1815000000000002</v>
      </c>
      <c r="H402">
        <v>19</v>
      </c>
    </row>
    <row r="403" spans="1:8">
      <c r="A403" s="4">
        <v>46262</v>
      </c>
      <c r="B403" s="5">
        <v>0</v>
      </c>
      <c r="C403" s="5">
        <v>0</v>
      </c>
      <c r="D403" s="5">
        <v>-4</v>
      </c>
      <c r="E403" s="5">
        <v>-1</v>
      </c>
      <c r="F403" s="3">
        <v>758</v>
      </c>
      <c r="G403" s="7">
        <v>1.7355</v>
      </c>
      <c r="H403">
        <v>16</v>
      </c>
    </row>
    <row r="404" spans="1:8">
      <c r="A404" s="4">
        <v>46263</v>
      </c>
      <c r="B404" s="5">
        <v>0</v>
      </c>
      <c r="C404" s="5">
        <v>0</v>
      </c>
      <c r="D404" s="5">
        <v>-25</v>
      </c>
      <c r="E404" s="5">
        <v>-4</v>
      </c>
      <c r="F404" s="3">
        <v>812</v>
      </c>
      <c r="G404" s="7">
        <v>1.8812</v>
      </c>
      <c r="H404">
        <v>15</v>
      </c>
    </row>
    <row r="405" spans="1:8">
      <c r="A405" s="4">
        <v>46264</v>
      </c>
      <c r="B405" s="5">
        <v>0</v>
      </c>
      <c r="C405" s="5">
        <v>0</v>
      </c>
      <c r="D405" s="5">
        <v>-28</v>
      </c>
      <c r="E405" s="5">
        <v>-2</v>
      </c>
      <c r="F405" s="3">
        <v>800</v>
      </c>
      <c r="G405" s="7">
        <v>2.0794000000000001</v>
      </c>
      <c r="H405">
        <v>18</v>
      </c>
    </row>
    <row r="406" spans="1:8">
      <c r="A406" s="4">
        <v>46265</v>
      </c>
      <c r="B406" s="5">
        <v>0</v>
      </c>
      <c r="C406" s="5">
        <v>0</v>
      </c>
      <c r="D406" s="5">
        <v>3</v>
      </c>
      <c r="E406" s="5">
        <v>-8</v>
      </c>
      <c r="F406" s="3">
        <v>708</v>
      </c>
      <c r="G406" s="7">
        <v>1.9478</v>
      </c>
      <c r="H406">
        <v>20</v>
      </c>
    </row>
    <row r="407" spans="1:8">
      <c r="A407" s="4">
        <v>46266</v>
      </c>
      <c r="B407" s="5">
        <v>0</v>
      </c>
      <c r="C407" s="5">
        <v>0</v>
      </c>
      <c r="D407" s="5">
        <v>-5</v>
      </c>
      <c r="E407" s="5">
        <v>-2</v>
      </c>
      <c r="F407" s="3">
        <v>616</v>
      </c>
      <c r="G407" s="7">
        <v>1.488</v>
      </c>
      <c r="H407">
        <v>16</v>
      </c>
    </row>
    <row r="408" spans="1:8">
      <c r="A408" s="4">
        <v>46267</v>
      </c>
      <c r="B408" s="5">
        <v>0</v>
      </c>
      <c r="C408" s="5">
        <v>0</v>
      </c>
      <c r="D408" s="5">
        <v>5</v>
      </c>
      <c r="E408" s="5">
        <v>0</v>
      </c>
      <c r="F408" s="3">
        <v>690</v>
      </c>
      <c r="G408" s="7">
        <v>1.7935000000000001</v>
      </c>
      <c r="H408">
        <v>18</v>
      </c>
    </row>
    <row r="409" spans="1:8">
      <c r="A409" s="4">
        <v>46268</v>
      </c>
      <c r="B409" s="5">
        <v>0</v>
      </c>
      <c r="C409" s="5">
        <v>0</v>
      </c>
      <c r="D409" s="5">
        <v>0</v>
      </c>
      <c r="E409" s="5">
        <v>-1</v>
      </c>
      <c r="F409" s="3">
        <v>801</v>
      </c>
      <c r="G409" s="7">
        <v>2.3182999999999998</v>
      </c>
      <c r="H409">
        <v>20</v>
      </c>
    </row>
    <row r="410" spans="1:8">
      <c r="A410" s="4">
        <v>46269</v>
      </c>
      <c r="B410" s="5">
        <v>1</v>
      </c>
      <c r="C410" s="5">
        <v>0</v>
      </c>
      <c r="D410" s="5">
        <v>5</v>
      </c>
      <c r="E410" s="5">
        <v>-2</v>
      </c>
      <c r="F410" s="3">
        <v>965</v>
      </c>
      <c r="G410" s="7">
        <v>2.4358</v>
      </c>
      <c r="H410">
        <v>17</v>
      </c>
    </row>
    <row r="411" spans="1:8">
      <c r="A411" s="4">
        <v>46270</v>
      </c>
      <c r="B411" s="5">
        <v>0</v>
      </c>
      <c r="C411" s="5">
        <v>0</v>
      </c>
      <c r="D411" s="5">
        <v>-87</v>
      </c>
      <c r="E411" s="5">
        <v>-2</v>
      </c>
      <c r="F411" s="3">
        <v>910</v>
      </c>
      <c r="G411" s="7">
        <v>2.2679</v>
      </c>
      <c r="H411">
        <v>17</v>
      </c>
    </row>
    <row r="412" spans="1:8">
      <c r="A412" s="4">
        <v>46271</v>
      </c>
      <c r="B412" s="5">
        <v>0</v>
      </c>
      <c r="C412" s="5">
        <v>0</v>
      </c>
      <c r="D412" s="5">
        <v>-58</v>
      </c>
      <c r="E412" s="5">
        <v>-4</v>
      </c>
      <c r="F412" s="3">
        <v>757</v>
      </c>
      <c r="G412" s="7">
        <v>2.1760000000000002</v>
      </c>
      <c r="H412">
        <v>20</v>
      </c>
    </row>
    <row r="413" spans="1:8">
      <c r="A413" s="4">
        <v>46272</v>
      </c>
      <c r="B413" s="5">
        <v>0</v>
      </c>
      <c r="C413" s="5">
        <v>0</v>
      </c>
      <c r="D413" s="5">
        <v>4</v>
      </c>
      <c r="E413" s="5">
        <v>-2</v>
      </c>
      <c r="F413" s="3">
        <v>750</v>
      </c>
      <c r="G413" s="7">
        <v>1.8326</v>
      </c>
      <c r="H413">
        <v>17</v>
      </c>
    </row>
    <row r="414" spans="1:8">
      <c r="A414" s="4">
        <v>46273</v>
      </c>
      <c r="B414" s="5">
        <v>1</v>
      </c>
      <c r="C414" s="5">
        <v>0</v>
      </c>
      <c r="D414" s="5">
        <v>8</v>
      </c>
      <c r="E414" s="5">
        <v>-1</v>
      </c>
      <c r="F414" s="3">
        <v>732</v>
      </c>
      <c r="G414" s="7">
        <v>1.7685</v>
      </c>
      <c r="H414">
        <v>17</v>
      </c>
    </row>
    <row r="415" spans="1:8">
      <c r="A415" s="4">
        <v>46274</v>
      </c>
      <c r="B415" s="5">
        <v>0</v>
      </c>
      <c r="C415" s="5">
        <v>0</v>
      </c>
      <c r="D415" s="5">
        <v>3</v>
      </c>
      <c r="E415" s="5">
        <v>0</v>
      </c>
      <c r="F415" s="3">
        <v>744</v>
      </c>
      <c r="G415" s="7">
        <v>1.849</v>
      </c>
      <c r="H415">
        <v>18</v>
      </c>
    </row>
    <row r="416" spans="1:8">
      <c r="A416" s="4">
        <v>46275</v>
      </c>
      <c r="B416" s="5">
        <v>3</v>
      </c>
      <c r="C416" s="5">
        <v>0</v>
      </c>
      <c r="D416" s="5">
        <v>4</v>
      </c>
      <c r="E416" s="5">
        <v>0</v>
      </c>
      <c r="F416" s="3">
        <v>903</v>
      </c>
      <c r="G416" s="7">
        <v>2.0825999999999998</v>
      </c>
      <c r="H416">
        <v>17</v>
      </c>
    </row>
    <row r="417" spans="1:8">
      <c r="A417" s="4">
        <v>46276</v>
      </c>
      <c r="B417" s="5">
        <v>0</v>
      </c>
      <c r="C417" s="5">
        <v>0</v>
      </c>
      <c r="D417" s="5">
        <v>6</v>
      </c>
      <c r="E417" s="5">
        <v>-2</v>
      </c>
      <c r="F417" s="3">
        <v>845</v>
      </c>
      <c r="G417" s="7">
        <v>2.0478000000000001</v>
      </c>
      <c r="H417">
        <v>17</v>
      </c>
    </row>
    <row r="418" spans="1:8">
      <c r="A418" s="4">
        <v>46277</v>
      </c>
      <c r="B418" s="5">
        <v>0</v>
      </c>
      <c r="C418" s="5">
        <v>0</v>
      </c>
      <c r="D418" s="5">
        <v>-5</v>
      </c>
      <c r="E418" s="5">
        <v>-2</v>
      </c>
      <c r="F418" s="3">
        <v>941</v>
      </c>
      <c r="G418" s="7">
        <v>2.2473999999999998</v>
      </c>
      <c r="H418">
        <v>17</v>
      </c>
    </row>
    <row r="419" spans="1:8">
      <c r="A419" s="4">
        <v>46278</v>
      </c>
      <c r="B419" s="5">
        <v>0</v>
      </c>
      <c r="C419" s="5">
        <v>0</v>
      </c>
      <c r="D419" s="5">
        <v>2</v>
      </c>
      <c r="E419" s="5">
        <v>-5</v>
      </c>
      <c r="F419" s="3">
        <v>804</v>
      </c>
      <c r="G419" s="7">
        <v>1.9786999999999999</v>
      </c>
      <c r="H419">
        <v>16</v>
      </c>
    </row>
    <row r="420" spans="1:8">
      <c r="A420" s="4">
        <v>46279</v>
      </c>
      <c r="B420" s="5">
        <v>0</v>
      </c>
      <c r="C420" s="5">
        <v>1</v>
      </c>
      <c r="D420" s="5">
        <v>8</v>
      </c>
      <c r="E420" s="5">
        <v>-4</v>
      </c>
      <c r="F420" s="3">
        <v>717</v>
      </c>
      <c r="G420" s="7">
        <v>1.7435</v>
      </c>
      <c r="H420">
        <v>17</v>
      </c>
    </row>
    <row r="421" spans="1:8">
      <c r="A421" s="4">
        <v>46280</v>
      </c>
      <c r="B421" s="5">
        <v>1</v>
      </c>
      <c r="C421" s="5">
        <v>0</v>
      </c>
      <c r="D421" s="5">
        <v>1</v>
      </c>
      <c r="E421" s="5">
        <v>0</v>
      </c>
      <c r="F421" s="3">
        <v>734</v>
      </c>
      <c r="G421" s="7">
        <v>1.8946000000000001</v>
      </c>
      <c r="H421">
        <v>18</v>
      </c>
    </row>
    <row r="422" spans="1:8">
      <c r="A422" s="4">
        <v>46281</v>
      </c>
      <c r="B422" s="5">
        <v>0</v>
      </c>
      <c r="C422" s="5">
        <v>0</v>
      </c>
      <c r="D422" s="5">
        <v>-1</v>
      </c>
      <c r="E422" s="5">
        <v>-10</v>
      </c>
      <c r="F422" s="3">
        <v>705</v>
      </c>
      <c r="G422" s="7">
        <v>1.7181</v>
      </c>
      <c r="H422">
        <v>18</v>
      </c>
    </row>
    <row r="423" spans="1:8">
      <c r="A423" s="4">
        <v>46282</v>
      </c>
      <c r="B423" s="5">
        <v>0</v>
      </c>
      <c r="C423" s="5">
        <v>0</v>
      </c>
      <c r="D423" s="5">
        <v>-119</v>
      </c>
      <c r="E423" s="5">
        <v>0</v>
      </c>
      <c r="F423" s="3">
        <v>721</v>
      </c>
      <c r="G423" s="7">
        <v>1.8075000000000001</v>
      </c>
      <c r="H423">
        <v>18</v>
      </c>
    </row>
    <row r="424" spans="1:8">
      <c r="A424" s="4">
        <v>46283</v>
      </c>
      <c r="B424" s="5">
        <v>1</v>
      </c>
      <c r="C424" s="5">
        <v>0</v>
      </c>
      <c r="D424" s="5">
        <v>-77</v>
      </c>
      <c r="E424" s="5">
        <v>-5</v>
      </c>
      <c r="F424" s="3">
        <v>782</v>
      </c>
      <c r="G424" s="7">
        <v>1.8008</v>
      </c>
      <c r="H424">
        <v>17</v>
      </c>
    </row>
    <row r="425" spans="1:8">
      <c r="A425" s="4">
        <v>46284</v>
      </c>
      <c r="B425" s="5">
        <v>0</v>
      </c>
      <c r="C425" s="5">
        <v>0</v>
      </c>
      <c r="D425" s="5">
        <v>-84</v>
      </c>
      <c r="E425" s="5">
        <v>-2</v>
      </c>
      <c r="F425" s="3">
        <v>795</v>
      </c>
      <c r="G425" s="7">
        <v>1.7470000000000001</v>
      </c>
      <c r="H425">
        <v>15</v>
      </c>
    </row>
    <row r="426" spans="1:8">
      <c r="A426" s="4">
        <v>46285</v>
      </c>
      <c r="B426" s="5">
        <v>0</v>
      </c>
      <c r="C426" s="5">
        <v>0</v>
      </c>
      <c r="D426" s="5">
        <v>0</v>
      </c>
      <c r="E426" s="5">
        <v>-1</v>
      </c>
      <c r="F426" s="3">
        <v>793</v>
      </c>
      <c r="G426" s="7">
        <v>1.8081</v>
      </c>
      <c r="H426">
        <v>17</v>
      </c>
    </row>
    <row r="427" spans="1:8">
      <c r="A427" s="4">
        <v>46286</v>
      </c>
      <c r="B427" s="5">
        <v>1</v>
      </c>
      <c r="C427" s="5">
        <v>0</v>
      </c>
      <c r="D427" s="5">
        <v>2</v>
      </c>
      <c r="E427" s="5">
        <v>0</v>
      </c>
      <c r="F427" s="3">
        <v>633</v>
      </c>
      <c r="G427" s="7">
        <v>1.4618</v>
      </c>
      <c r="H427">
        <v>17</v>
      </c>
    </row>
    <row r="428" spans="1:8">
      <c r="A428" s="4">
        <v>46287</v>
      </c>
      <c r="B428" s="5">
        <v>0</v>
      </c>
      <c r="C428" s="5">
        <v>1</v>
      </c>
      <c r="D428" s="5">
        <v>6</v>
      </c>
      <c r="E428" s="5">
        <v>1</v>
      </c>
      <c r="F428" s="3">
        <v>667</v>
      </c>
      <c r="G428" s="7">
        <v>1.6034999999999999</v>
      </c>
      <c r="H428">
        <v>18</v>
      </c>
    </row>
    <row r="429" spans="1:8">
      <c r="A429" s="4">
        <v>46288</v>
      </c>
      <c r="B429" s="5">
        <v>0</v>
      </c>
      <c r="C429" s="5">
        <v>0</v>
      </c>
      <c r="D429" s="5">
        <v>2</v>
      </c>
      <c r="E429" s="5">
        <v>-1</v>
      </c>
      <c r="F429" s="3">
        <v>714</v>
      </c>
      <c r="G429" s="7">
        <v>1.601</v>
      </c>
      <c r="H429">
        <v>17</v>
      </c>
    </row>
    <row r="430" spans="1:8">
      <c r="A430" s="4">
        <v>46289</v>
      </c>
      <c r="B430" s="5">
        <v>0</v>
      </c>
      <c r="C430" s="5">
        <v>1</v>
      </c>
      <c r="D430" s="5">
        <v>1</v>
      </c>
      <c r="E430" s="5">
        <v>0</v>
      </c>
      <c r="F430" s="3">
        <v>737</v>
      </c>
      <c r="G430" s="7">
        <v>1.5774999999999999</v>
      </c>
      <c r="H430">
        <v>16</v>
      </c>
    </row>
    <row r="431" spans="1:8">
      <c r="A431" s="4">
        <v>46290</v>
      </c>
      <c r="B431" s="5">
        <v>0</v>
      </c>
      <c r="C431" s="5">
        <v>1</v>
      </c>
      <c r="D431" s="5">
        <v>0</v>
      </c>
      <c r="E431" s="5">
        <v>-2</v>
      </c>
      <c r="F431" s="3">
        <v>564</v>
      </c>
      <c r="G431" s="7">
        <v>1.3481000000000001</v>
      </c>
      <c r="H431">
        <v>16</v>
      </c>
    </row>
    <row r="432" spans="1:8">
      <c r="A432" s="4">
        <v>46291</v>
      </c>
      <c r="B432" s="5">
        <v>0</v>
      </c>
      <c r="C432" s="5">
        <v>0</v>
      </c>
      <c r="D432" s="5">
        <v>6</v>
      </c>
      <c r="E432" s="5">
        <v>-6</v>
      </c>
      <c r="F432" s="3">
        <v>631</v>
      </c>
      <c r="G432" s="7">
        <v>1.5124</v>
      </c>
      <c r="H432">
        <v>17</v>
      </c>
    </row>
    <row r="433" spans="1:8">
      <c r="A433" s="4">
        <v>46292</v>
      </c>
      <c r="B433" s="5">
        <v>1</v>
      </c>
      <c r="C433" s="5">
        <v>0</v>
      </c>
      <c r="D433" s="5">
        <v>-2</v>
      </c>
      <c r="E433" s="5">
        <v>-2</v>
      </c>
      <c r="F433" s="3">
        <v>614</v>
      </c>
      <c r="G433" s="7">
        <v>1.4746999999999999</v>
      </c>
      <c r="H433">
        <v>16</v>
      </c>
    </row>
    <row r="434" spans="1:8">
      <c r="A434" s="4">
        <v>46293</v>
      </c>
      <c r="B434" s="5">
        <v>0</v>
      </c>
      <c r="C434" s="5"/>
      <c r="D434" s="5">
        <v>-1</v>
      </c>
      <c r="E434" s="5">
        <v>-1</v>
      </c>
      <c r="F434" s="3">
        <v>472</v>
      </c>
      <c r="G434" s="7">
        <v>1.1669</v>
      </c>
      <c r="H434">
        <v>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8E48-1BD9-4AB1-9C36-E474AF771D31}">
  <dimension ref="A1:F155"/>
  <sheetViews>
    <sheetView topLeftCell="A122" zoomScaleNormal="100" workbookViewId="0">
      <selection activeCell="B129" sqref="B129"/>
    </sheetView>
  </sheetViews>
  <sheetFormatPr defaultRowHeight="15"/>
  <cols>
    <col min="1" max="1" width="15.28515625" bestFit="1" customWidth="1"/>
    <col min="2" max="2" width="55.42578125" bestFit="1" customWidth="1"/>
    <col min="3" max="3" width="11.85546875" bestFit="1" customWidth="1"/>
  </cols>
  <sheetData>
    <row r="1" spans="1:6">
      <c r="A1" t="s">
        <v>223</v>
      </c>
      <c r="B1" t="s">
        <v>224</v>
      </c>
      <c r="C1" t="s">
        <v>536</v>
      </c>
    </row>
    <row r="2" spans="1:6">
      <c r="A2" t="s">
        <v>472</v>
      </c>
      <c r="B2" t="s">
        <v>473</v>
      </c>
      <c r="C2" t="s">
        <v>538</v>
      </c>
    </row>
    <row r="3" spans="1:6">
      <c r="A3" t="s">
        <v>474</v>
      </c>
      <c r="B3" t="s">
        <v>475</v>
      </c>
      <c r="C3" t="s">
        <v>537</v>
      </c>
    </row>
    <row r="4" spans="1:6">
      <c r="A4" t="s">
        <v>468</v>
      </c>
      <c r="B4" t="s">
        <v>469</v>
      </c>
      <c r="C4" t="s">
        <v>538</v>
      </c>
    </row>
    <row r="5" spans="1:6">
      <c r="A5" t="s">
        <v>526</v>
      </c>
      <c r="B5" t="s">
        <v>527</v>
      </c>
      <c r="C5" t="s">
        <v>537</v>
      </c>
    </row>
    <row r="6" spans="1:6">
      <c r="A6" t="s">
        <v>518</v>
      </c>
      <c r="B6" t="s">
        <v>519</v>
      </c>
      <c r="C6" t="s">
        <v>539</v>
      </c>
    </row>
    <row r="7" spans="1:6">
      <c r="A7" t="s">
        <v>524</v>
      </c>
      <c r="B7" t="s">
        <v>525</v>
      </c>
      <c r="C7" t="s">
        <v>539</v>
      </c>
    </row>
    <row r="8" spans="1:6">
      <c r="A8" t="s">
        <v>470</v>
      </c>
      <c r="B8" t="s">
        <v>471</v>
      </c>
      <c r="C8" t="s">
        <v>537</v>
      </c>
    </row>
    <row r="9" spans="1:6">
      <c r="A9" t="s">
        <v>460</v>
      </c>
      <c r="B9" t="s">
        <v>461</v>
      </c>
      <c r="C9" t="s">
        <v>539</v>
      </c>
    </row>
    <row r="10" spans="1:6">
      <c r="A10" t="s">
        <v>446</v>
      </c>
      <c r="B10" t="s">
        <v>447</v>
      </c>
      <c r="C10" t="s">
        <v>538</v>
      </c>
    </row>
    <row r="11" spans="1:6">
      <c r="A11" t="s">
        <v>428</v>
      </c>
      <c r="B11" t="s">
        <v>429</v>
      </c>
      <c r="C11" t="s">
        <v>539</v>
      </c>
    </row>
    <row r="12" spans="1:6">
      <c r="A12" t="s">
        <v>498</v>
      </c>
      <c r="B12" t="s">
        <v>499</v>
      </c>
      <c r="C12" t="s">
        <v>538</v>
      </c>
      <c r="F12" s="11"/>
    </row>
    <row r="13" spans="1:6">
      <c r="A13" t="s">
        <v>372</v>
      </c>
      <c r="B13" t="s">
        <v>373</v>
      </c>
      <c r="C13" t="s">
        <v>539</v>
      </c>
    </row>
    <row r="14" spans="1:6">
      <c r="A14" t="s">
        <v>301</v>
      </c>
      <c r="B14" t="s">
        <v>302</v>
      </c>
      <c r="C14" t="s">
        <v>540</v>
      </c>
    </row>
    <row r="15" spans="1:6">
      <c r="A15" t="s">
        <v>295</v>
      </c>
      <c r="B15" t="s">
        <v>296</v>
      </c>
      <c r="C15" t="s">
        <v>540</v>
      </c>
    </row>
    <row r="16" spans="1:6">
      <c r="A16" t="s">
        <v>233</v>
      </c>
      <c r="B16" t="s">
        <v>234</v>
      </c>
      <c r="C16" t="s">
        <v>540</v>
      </c>
    </row>
    <row r="17" spans="1:3">
      <c r="A17" t="s">
        <v>283</v>
      </c>
      <c r="B17" t="s">
        <v>284</v>
      </c>
      <c r="C17" t="s">
        <v>538</v>
      </c>
    </row>
    <row r="18" spans="1:3">
      <c r="A18" t="s">
        <v>253</v>
      </c>
      <c r="B18" t="s">
        <v>254</v>
      </c>
      <c r="C18" t="s">
        <v>540</v>
      </c>
    </row>
    <row r="19" spans="1:3">
      <c r="A19" t="s">
        <v>239</v>
      </c>
      <c r="B19" t="s">
        <v>240</v>
      </c>
      <c r="C19" t="s">
        <v>540</v>
      </c>
    </row>
    <row r="20" spans="1:3">
      <c r="A20" t="s">
        <v>458</v>
      </c>
      <c r="B20" t="s">
        <v>459</v>
      </c>
      <c r="C20" t="s">
        <v>537</v>
      </c>
    </row>
    <row r="21" spans="1:3">
      <c r="A21" t="s">
        <v>275</v>
      </c>
      <c r="B21" t="s">
        <v>276</v>
      </c>
      <c r="C21" t="s">
        <v>540</v>
      </c>
    </row>
    <row r="22" spans="1:3">
      <c r="A22" t="s">
        <v>297</v>
      </c>
      <c r="B22" t="s">
        <v>298</v>
      </c>
      <c r="C22" t="s">
        <v>540</v>
      </c>
    </row>
    <row r="23" spans="1:3">
      <c r="A23" t="s">
        <v>311</v>
      </c>
      <c r="B23" t="s">
        <v>312</v>
      </c>
      <c r="C23" t="s">
        <v>540</v>
      </c>
    </row>
    <row r="24" spans="1:3">
      <c r="A24" t="s">
        <v>289</v>
      </c>
      <c r="B24" t="s">
        <v>290</v>
      </c>
      <c r="C24" t="s">
        <v>540</v>
      </c>
    </row>
    <row r="25" spans="1:3">
      <c r="A25" t="s">
        <v>271</v>
      </c>
      <c r="B25" t="s">
        <v>272</v>
      </c>
      <c r="C25" t="s">
        <v>540</v>
      </c>
    </row>
    <row r="26" spans="1:3">
      <c r="A26" t="s">
        <v>299</v>
      </c>
      <c r="B26" t="s">
        <v>300</v>
      </c>
      <c r="C26" t="s">
        <v>540</v>
      </c>
    </row>
    <row r="27" spans="1:3">
      <c r="A27" t="s">
        <v>406</v>
      </c>
      <c r="B27" t="s">
        <v>407</v>
      </c>
      <c r="C27" t="s">
        <v>540</v>
      </c>
    </row>
    <row r="28" spans="1:3">
      <c r="A28" t="s">
        <v>327</v>
      </c>
      <c r="B28" t="s">
        <v>328</v>
      </c>
      <c r="C28" t="s">
        <v>540</v>
      </c>
    </row>
    <row r="29" spans="1:3">
      <c r="A29" t="s">
        <v>317</v>
      </c>
      <c r="B29" t="s">
        <v>318</v>
      </c>
      <c r="C29" t="s">
        <v>540</v>
      </c>
    </row>
    <row r="30" spans="1:3">
      <c r="A30" t="s">
        <v>410</v>
      </c>
      <c r="B30" t="s">
        <v>411</v>
      </c>
      <c r="C30" t="s">
        <v>540</v>
      </c>
    </row>
    <row r="31" spans="1:3">
      <c r="A31" t="s">
        <v>337</v>
      </c>
      <c r="B31" t="s">
        <v>338</v>
      </c>
      <c r="C31" t="s">
        <v>540</v>
      </c>
    </row>
    <row r="32" spans="1:3">
      <c r="A32" t="s">
        <v>255</v>
      </c>
      <c r="B32" t="s">
        <v>256</v>
      </c>
      <c r="C32" t="s">
        <v>540</v>
      </c>
    </row>
    <row r="33" spans="1:3">
      <c r="A33" t="s">
        <v>382</v>
      </c>
      <c r="B33" t="s">
        <v>383</v>
      </c>
      <c r="C33" t="s">
        <v>540</v>
      </c>
    </row>
    <row r="34" spans="1:3">
      <c r="A34" t="s">
        <v>359</v>
      </c>
      <c r="B34" t="s">
        <v>360</v>
      </c>
      <c r="C34" t="s">
        <v>540</v>
      </c>
    </row>
    <row r="35" spans="1:3">
      <c r="A35" t="s">
        <v>384</v>
      </c>
      <c r="B35" t="s">
        <v>385</v>
      </c>
      <c r="C35" t="s">
        <v>538</v>
      </c>
    </row>
    <row r="36" spans="1:3">
      <c r="A36" t="s">
        <v>424</v>
      </c>
      <c r="B36" t="s">
        <v>425</v>
      </c>
      <c r="C36" t="s">
        <v>540</v>
      </c>
    </row>
    <row r="37" spans="1:3">
      <c r="A37" t="s">
        <v>430</v>
      </c>
      <c r="B37" t="s">
        <v>431</v>
      </c>
      <c r="C37" t="s">
        <v>540</v>
      </c>
    </row>
    <row r="38" spans="1:3">
      <c r="A38" t="s">
        <v>502</v>
      </c>
      <c r="B38" t="s">
        <v>503</v>
      </c>
      <c r="C38" t="s">
        <v>538</v>
      </c>
    </row>
    <row r="39" spans="1:3">
      <c r="A39" t="s">
        <v>438</v>
      </c>
      <c r="B39" t="s">
        <v>439</v>
      </c>
      <c r="C39" t="s">
        <v>540</v>
      </c>
    </row>
    <row r="40" spans="1:3">
      <c r="A40" t="s">
        <v>277</v>
      </c>
      <c r="B40" t="s">
        <v>278</v>
      </c>
      <c r="C40" t="s">
        <v>539</v>
      </c>
    </row>
    <row r="41" spans="1:3">
      <c r="A41" t="s">
        <v>454</v>
      </c>
      <c r="B41" t="s">
        <v>455</v>
      </c>
      <c r="C41" t="s">
        <v>539</v>
      </c>
    </row>
    <row r="42" spans="1:3">
      <c r="A42" t="s">
        <v>500</v>
      </c>
      <c r="B42" t="s">
        <v>501</v>
      </c>
      <c r="C42" t="s">
        <v>539</v>
      </c>
    </row>
    <row r="43" spans="1:3">
      <c r="A43" t="s">
        <v>390</v>
      </c>
      <c r="B43" t="s">
        <v>391</v>
      </c>
      <c r="C43" t="s">
        <v>538</v>
      </c>
    </row>
    <row r="44" spans="1:3">
      <c r="A44" t="s">
        <v>388</v>
      </c>
      <c r="B44" t="s">
        <v>389</v>
      </c>
      <c r="C44" t="s">
        <v>540</v>
      </c>
    </row>
    <row r="45" spans="1:3">
      <c r="A45" t="s">
        <v>307</v>
      </c>
      <c r="B45" t="s">
        <v>308</v>
      </c>
      <c r="C45" t="s">
        <v>539</v>
      </c>
    </row>
    <row r="46" spans="1:3">
      <c r="A46" t="s">
        <v>440</v>
      </c>
      <c r="B46" t="s">
        <v>441</v>
      </c>
      <c r="C46" t="s">
        <v>539</v>
      </c>
    </row>
    <row r="47" spans="1:3">
      <c r="A47" t="s">
        <v>265</v>
      </c>
      <c r="B47" t="s">
        <v>266</v>
      </c>
      <c r="C47" t="s">
        <v>540</v>
      </c>
    </row>
    <row r="48" spans="1:3">
      <c r="A48" t="s">
        <v>349</v>
      </c>
      <c r="B48" t="s">
        <v>350</v>
      </c>
      <c r="C48" t="s">
        <v>540</v>
      </c>
    </row>
    <row r="49" spans="1:3">
      <c r="A49" t="s">
        <v>361</v>
      </c>
      <c r="B49" t="s">
        <v>362</v>
      </c>
      <c r="C49" t="s">
        <v>539</v>
      </c>
    </row>
    <row r="50" spans="1:3">
      <c r="A50" t="s">
        <v>365</v>
      </c>
      <c r="B50" t="s">
        <v>366</v>
      </c>
      <c r="C50" t="s">
        <v>539</v>
      </c>
    </row>
    <row r="51" spans="1:3">
      <c r="A51" t="s">
        <v>281</v>
      </c>
      <c r="B51" t="s">
        <v>282</v>
      </c>
      <c r="C51" t="s">
        <v>540</v>
      </c>
    </row>
    <row r="52" spans="1:3">
      <c r="A52" t="s">
        <v>339</v>
      </c>
      <c r="B52" t="s">
        <v>340</v>
      </c>
      <c r="C52" t="s">
        <v>540</v>
      </c>
    </row>
    <row r="53" spans="1:3">
      <c r="A53" t="s">
        <v>351</v>
      </c>
      <c r="B53" t="s">
        <v>352</v>
      </c>
      <c r="C53" t="s">
        <v>540</v>
      </c>
    </row>
    <row r="54" spans="1:3">
      <c r="A54" t="s">
        <v>414</v>
      </c>
      <c r="B54" t="s">
        <v>415</v>
      </c>
      <c r="C54" t="s">
        <v>540</v>
      </c>
    </row>
    <row r="55" spans="1:3">
      <c r="A55" t="s">
        <v>257</v>
      </c>
      <c r="B55" t="s">
        <v>258</v>
      </c>
      <c r="C55" t="s">
        <v>538</v>
      </c>
    </row>
    <row r="56" spans="1:3">
      <c r="A56" t="s">
        <v>309</v>
      </c>
      <c r="B56" t="s">
        <v>310</v>
      </c>
      <c r="C56" t="s">
        <v>540</v>
      </c>
    </row>
    <row r="57" spans="1:3">
      <c r="A57" t="s">
        <v>456</v>
      </c>
      <c r="B57" t="s">
        <v>457</v>
      </c>
      <c r="C57" t="s">
        <v>541</v>
      </c>
    </row>
    <row r="58" spans="1:3">
      <c r="A58" t="s">
        <v>396</v>
      </c>
      <c r="B58" t="s">
        <v>397</v>
      </c>
      <c r="C58" t="s">
        <v>540</v>
      </c>
    </row>
    <row r="59" spans="1:3">
      <c r="A59" t="s">
        <v>355</v>
      </c>
      <c r="B59" t="s">
        <v>356</v>
      </c>
      <c r="C59" t="s">
        <v>540</v>
      </c>
    </row>
    <row r="60" spans="1:3">
      <c r="A60" t="s">
        <v>245</v>
      </c>
      <c r="B60" t="s">
        <v>246</v>
      </c>
      <c r="C60" t="s">
        <v>541</v>
      </c>
    </row>
    <row r="61" spans="1:3">
      <c r="A61" t="s">
        <v>436</v>
      </c>
      <c r="B61" t="s">
        <v>437</v>
      </c>
      <c r="C61" t="s">
        <v>541</v>
      </c>
    </row>
    <row r="62" spans="1:3">
      <c r="A62" t="s">
        <v>363</v>
      </c>
      <c r="B62" t="s">
        <v>364</v>
      </c>
      <c r="C62" t="s">
        <v>541</v>
      </c>
    </row>
    <row r="63" spans="1:3">
      <c r="A63" t="s">
        <v>273</v>
      </c>
      <c r="B63" t="s">
        <v>274</v>
      </c>
      <c r="C63" t="s">
        <v>541</v>
      </c>
    </row>
    <row r="64" spans="1:3">
      <c r="A64" t="s">
        <v>261</v>
      </c>
      <c r="B64" t="s">
        <v>262</v>
      </c>
      <c r="C64" t="s">
        <v>541</v>
      </c>
    </row>
    <row r="65" spans="1:3">
      <c r="A65" t="s">
        <v>285</v>
      </c>
      <c r="B65" t="s">
        <v>286</v>
      </c>
      <c r="C65" t="s">
        <v>541</v>
      </c>
    </row>
    <row r="66" spans="1:3">
      <c r="A66" t="s">
        <v>482</v>
      </c>
      <c r="B66" t="s">
        <v>483</v>
      </c>
      <c r="C66" t="s">
        <v>541</v>
      </c>
    </row>
    <row r="67" spans="1:3">
      <c r="A67" t="s">
        <v>375</v>
      </c>
      <c r="B67" t="s">
        <v>376</v>
      </c>
      <c r="C67" t="s">
        <v>541</v>
      </c>
    </row>
    <row r="68" spans="1:3">
      <c r="A68" t="s">
        <v>442</v>
      </c>
      <c r="B68" t="s">
        <v>443</v>
      </c>
      <c r="C68" t="s">
        <v>541</v>
      </c>
    </row>
    <row r="69" spans="1:3">
      <c r="A69" t="s">
        <v>534</v>
      </c>
      <c r="B69" t="s">
        <v>535</v>
      </c>
      <c r="C69" t="s">
        <v>539</v>
      </c>
    </row>
    <row r="70" spans="1:3">
      <c r="A70" t="s">
        <v>426</v>
      </c>
      <c r="B70" t="s">
        <v>427</v>
      </c>
      <c r="C70" t="s">
        <v>540</v>
      </c>
    </row>
    <row r="71" spans="1:3">
      <c r="A71" t="s">
        <v>434</v>
      </c>
      <c r="B71" t="s">
        <v>435</v>
      </c>
      <c r="C71" t="s">
        <v>540</v>
      </c>
    </row>
    <row r="72" spans="1:3">
      <c r="A72" t="s">
        <v>249</v>
      </c>
      <c r="B72" t="s">
        <v>250</v>
      </c>
      <c r="C72" t="s">
        <v>540</v>
      </c>
    </row>
    <row r="73" spans="1:3">
      <c r="A73" t="s">
        <v>408</v>
      </c>
      <c r="B73" t="s">
        <v>409</v>
      </c>
      <c r="C73" t="s">
        <v>541</v>
      </c>
    </row>
    <row r="74" spans="1:3">
      <c r="A74" t="s">
        <v>512</v>
      </c>
      <c r="B74" t="s">
        <v>513</v>
      </c>
      <c r="C74" t="s">
        <v>541</v>
      </c>
    </row>
    <row r="75" spans="1:3">
      <c r="A75" t="s">
        <v>490</v>
      </c>
      <c r="B75" t="s">
        <v>491</v>
      </c>
      <c r="C75" t="s">
        <v>541</v>
      </c>
    </row>
    <row r="76" spans="1:3">
      <c r="A76" t="s">
        <v>444</v>
      </c>
      <c r="B76" t="s">
        <v>445</v>
      </c>
      <c r="C76" t="s">
        <v>541</v>
      </c>
    </row>
    <row r="77" spans="1:3">
      <c r="A77" t="s">
        <v>343</v>
      </c>
      <c r="B77" t="s">
        <v>344</v>
      </c>
      <c r="C77" t="s">
        <v>541</v>
      </c>
    </row>
    <row r="78" spans="1:3">
      <c r="A78" t="s">
        <v>237</v>
      </c>
      <c r="B78" t="s">
        <v>238</v>
      </c>
      <c r="C78" t="s">
        <v>541</v>
      </c>
    </row>
    <row r="79" spans="1:3">
      <c r="A79" t="s">
        <v>450</v>
      </c>
      <c r="B79" t="s">
        <v>451</v>
      </c>
      <c r="C79" t="s">
        <v>541</v>
      </c>
    </row>
    <row r="80" spans="1:3">
      <c r="A80" t="s">
        <v>392</v>
      </c>
      <c r="B80" t="s">
        <v>393</v>
      </c>
      <c r="C80" t="s">
        <v>541</v>
      </c>
    </row>
    <row r="81" spans="1:3">
      <c r="A81" t="s">
        <v>420</v>
      </c>
      <c r="B81" t="s">
        <v>421</v>
      </c>
      <c r="C81" t="s">
        <v>541</v>
      </c>
    </row>
    <row r="82" spans="1:3">
      <c r="A82" t="s">
        <v>486</v>
      </c>
      <c r="B82" t="s">
        <v>487</v>
      </c>
      <c r="C82" t="s">
        <v>541</v>
      </c>
    </row>
    <row r="83" spans="1:3">
      <c r="A83" t="s">
        <v>522</v>
      </c>
      <c r="B83" t="s">
        <v>523</v>
      </c>
      <c r="C83" t="s">
        <v>541</v>
      </c>
    </row>
    <row r="84" spans="1:3">
      <c r="A84" t="s">
        <v>530</v>
      </c>
      <c r="B84" t="s">
        <v>531</v>
      </c>
      <c r="C84" t="s">
        <v>541</v>
      </c>
    </row>
    <row r="85" spans="1:3">
      <c r="A85" t="s">
        <v>452</v>
      </c>
      <c r="B85" t="s">
        <v>453</v>
      </c>
      <c r="C85" t="s">
        <v>541</v>
      </c>
    </row>
    <row r="86" spans="1:3">
      <c r="A86" t="s">
        <v>504</v>
      </c>
      <c r="B86" t="s">
        <v>505</v>
      </c>
      <c r="C86" t="s">
        <v>541</v>
      </c>
    </row>
    <row r="87" spans="1:3">
      <c r="A87" t="s">
        <v>418</v>
      </c>
      <c r="B87" t="s">
        <v>419</v>
      </c>
      <c r="C87" t="s">
        <v>541</v>
      </c>
    </row>
    <row r="88" spans="1:3">
      <c r="A88" t="s">
        <v>506</v>
      </c>
      <c r="B88" t="s">
        <v>507</v>
      </c>
      <c r="C88" t="s">
        <v>541</v>
      </c>
    </row>
    <row r="89" spans="1:3">
      <c r="A89" t="s">
        <v>466</v>
      </c>
      <c r="B89" t="s">
        <v>467</v>
      </c>
      <c r="C89" t="s">
        <v>541</v>
      </c>
    </row>
    <row r="90" spans="1:3">
      <c r="A90" t="s">
        <v>480</v>
      </c>
      <c r="B90" t="s">
        <v>481</v>
      </c>
      <c r="C90" t="s">
        <v>541</v>
      </c>
    </row>
    <row r="91" spans="1:3">
      <c r="A91" t="s">
        <v>510</v>
      </c>
      <c r="B91" t="s">
        <v>511</v>
      </c>
      <c r="C91" t="s">
        <v>541</v>
      </c>
    </row>
    <row r="92" spans="1:3">
      <c r="A92" t="s">
        <v>347</v>
      </c>
      <c r="B92" t="s">
        <v>348</v>
      </c>
      <c r="C92" t="s">
        <v>541</v>
      </c>
    </row>
    <row r="93" spans="1:3">
      <c r="A93" t="s">
        <v>400</v>
      </c>
      <c r="B93" t="s">
        <v>401</v>
      </c>
      <c r="C93" t="s">
        <v>541</v>
      </c>
    </row>
    <row r="94" spans="1:3">
      <c r="A94" t="s">
        <v>520</v>
      </c>
      <c r="B94" t="s">
        <v>521</v>
      </c>
      <c r="C94" t="s">
        <v>541</v>
      </c>
    </row>
    <row r="95" spans="1:3">
      <c r="A95" t="s">
        <v>532</v>
      </c>
      <c r="B95" t="s">
        <v>533</v>
      </c>
      <c r="C95" t="s">
        <v>541</v>
      </c>
    </row>
    <row r="96" spans="1:3">
      <c r="A96" t="s">
        <v>514</v>
      </c>
      <c r="B96" t="s">
        <v>515</v>
      </c>
      <c r="C96" t="s">
        <v>541</v>
      </c>
    </row>
    <row r="97" spans="1:3">
      <c r="A97" t="s">
        <v>516</v>
      </c>
      <c r="B97" t="s">
        <v>517</v>
      </c>
      <c r="C97" t="s">
        <v>541</v>
      </c>
    </row>
    <row r="98" spans="1:3">
      <c r="A98" t="s">
        <v>279</v>
      </c>
      <c r="B98" t="s">
        <v>280</v>
      </c>
      <c r="C98" t="s">
        <v>541</v>
      </c>
    </row>
    <row r="99" spans="1:3">
      <c r="A99" t="s">
        <v>508</v>
      </c>
      <c r="B99" t="s">
        <v>509</v>
      </c>
      <c r="C99" t="s">
        <v>541</v>
      </c>
    </row>
    <row r="100" spans="1:3">
      <c r="A100" t="s">
        <v>386</v>
      </c>
      <c r="B100" t="s">
        <v>387</v>
      </c>
      <c r="C100" t="s">
        <v>541</v>
      </c>
    </row>
    <row r="101" spans="1:3">
      <c r="A101" t="s">
        <v>484</v>
      </c>
      <c r="B101" t="s">
        <v>485</v>
      </c>
      <c r="C101" t="s">
        <v>541</v>
      </c>
    </row>
    <row r="102" spans="1:3">
      <c r="A102" t="s">
        <v>494</v>
      </c>
      <c r="B102" t="s">
        <v>495</v>
      </c>
      <c r="C102" t="s">
        <v>541</v>
      </c>
    </row>
    <row r="103" spans="1:3">
      <c r="A103" t="s">
        <v>528</v>
      </c>
      <c r="B103" t="s">
        <v>529</v>
      </c>
      <c r="C103" t="s">
        <v>541</v>
      </c>
    </row>
    <row r="104" spans="1:3">
      <c r="A104" t="s">
        <v>478</v>
      </c>
      <c r="B104" t="s">
        <v>479</v>
      </c>
      <c r="C104" t="s">
        <v>541</v>
      </c>
    </row>
    <row r="105" spans="1:3">
      <c r="A105" t="s">
        <v>464</v>
      </c>
      <c r="B105" t="s">
        <v>465</v>
      </c>
      <c r="C105" t="s">
        <v>537</v>
      </c>
    </row>
    <row r="106" spans="1:3">
      <c r="A106" t="s">
        <v>313</v>
      </c>
      <c r="B106" t="s">
        <v>314</v>
      </c>
      <c r="C106" t="s">
        <v>537</v>
      </c>
    </row>
    <row r="107" spans="1:3">
      <c r="A107" t="s">
        <v>367</v>
      </c>
      <c r="B107" t="s">
        <v>342</v>
      </c>
      <c r="C107" t="s">
        <v>537</v>
      </c>
    </row>
    <row r="108" spans="1:3">
      <c r="A108" t="s">
        <v>325</v>
      </c>
      <c r="B108" t="s">
        <v>326</v>
      </c>
      <c r="C108" t="s">
        <v>537</v>
      </c>
    </row>
    <row r="109" spans="1:3">
      <c r="A109" t="s">
        <v>235</v>
      </c>
      <c r="B109" t="s">
        <v>236</v>
      </c>
      <c r="C109" t="s">
        <v>537</v>
      </c>
    </row>
    <row r="110" spans="1:3">
      <c r="A110" t="s">
        <v>292</v>
      </c>
      <c r="B110" t="s">
        <v>260</v>
      </c>
      <c r="C110" t="s">
        <v>537</v>
      </c>
    </row>
    <row r="111" spans="1:3">
      <c r="A111" t="s">
        <v>269</v>
      </c>
      <c r="B111" t="s">
        <v>270</v>
      </c>
      <c r="C111" t="s">
        <v>537</v>
      </c>
    </row>
    <row r="112" spans="1:3">
      <c r="A112" t="s">
        <v>345</v>
      </c>
      <c r="B112" t="s">
        <v>346</v>
      </c>
      <c r="C112" t="s">
        <v>537</v>
      </c>
    </row>
    <row r="113" spans="1:3">
      <c r="A113" t="s">
        <v>243</v>
      </c>
      <c r="B113" t="s">
        <v>244</v>
      </c>
      <c r="C113" t="s">
        <v>537</v>
      </c>
    </row>
    <row r="114" spans="1:3">
      <c r="A114" t="s">
        <v>251</v>
      </c>
      <c r="B114" t="s">
        <v>252</v>
      </c>
      <c r="C114" t="s">
        <v>537</v>
      </c>
    </row>
    <row r="115" spans="1:3">
      <c r="A115" t="s">
        <v>263</v>
      </c>
      <c r="B115" t="s">
        <v>264</v>
      </c>
      <c r="C115" t="s">
        <v>537</v>
      </c>
    </row>
    <row r="116" spans="1:3">
      <c r="A116" t="s">
        <v>402</v>
      </c>
      <c r="B116" t="s">
        <v>403</v>
      </c>
      <c r="C116" t="s">
        <v>537</v>
      </c>
    </row>
    <row r="117" spans="1:3">
      <c r="A117" t="s">
        <v>370</v>
      </c>
      <c r="B117" t="s">
        <v>371</v>
      </c>
      <c r="C117" t="s">
        <v>537</v>
      </c>
    </row>
    <row r="118" spans="1:3">
      <c r="A118" t="s">
        <v>321</v>
      </c>
      <c r="B118" t="s">
        <v>322</v>
      </c>
      <c r="C118" t="s">
        <v>537</v>
      </c>
    </row>
    <row r="119" spans="1:3">
      <c r="A119" t="s">
        <v>448</v>
      </c>
      <c r="B119" t="s">
        <v>449</v>
      </c>
      <c r="C119" t="s">
        <v>537</v>
      </c>
    </row>
    <row r="120" spans="1:3">
      <c r="A120" t="s">
        <v>368</v>
      </c>
      <c r="B120" t="s">
        <v>369</v>
      </c>
      <c r="C120" t="s">
        <v>537</v>
      </c>
    </row>
    <row r="121" spans="1:3">
      <c r="A121" t="s">
        <v>374</v>
      </c>
      <c r="B121" t="s">
        <v>270</v>
      </c>
      <c r="C121" t="s">
        <v>537</v>
      </c>
    </row>
    <row r="122" spans="1:3">
      <c r="A122" t="s">
        <v>241</v>
      </c>
      <c r="B122" t="s">
        <v>242</v>
      </c>
      <c r="C122" t="s">
        <v>537</v>
      </c>
    </row>
    <row r="123" spans="1:3">
      <c r="A123" t="s">
        <v>416</v>
      </c>
      <c r="B123" t="s">
        <v>417</v>
      </c>
      <c r="C123" t="s">
        <v>537</v>
      </c>
    </row>
    <row r="124" spans="1:3">
      <c r="A124" t="s">
        <v>341</v>
      </c>
      <c r="B124" t="s">
        <v>342</v>
      </c>
      <c r="C124" t="s">
        <v>537</v>
      </c>
    </row>
    <row r="125" spans="1:3">
      <c r="A125" t="s">
        <v>381</v>
      </c>
      <c r="B125" t="s">
        <v>378</v>
      </c>
      <c r="C125" t="s">
        <v>537</v>
      </c>
    </row>
    <row r="126" spans="1:3">
      <c r="A126" t="s">
        <v>305</v>
      </c>
      <c r="B126" t="s">
        <v>306</v>
      </c>
      <c r="C126" t="s">
        <v>537</v>
      </c>
    </row>
    <row r="127" spans="1:3">
      <c r="A127" t="s">
        <v>287</v>
      </c>
      <c r="B127" t="s">
        <v>288</v>
      </c>
      <c r="C127" t="s">
        <v>537</v>
      </c>
    </row>
    <row r="128" spans="1:3">
      <c r="A128" t="s">
        <v>315</v>
      </c>
      <c r="B128" t="s">
        <v>316</v>
      </c>
      <c r="C128" t="s">
        <v>537</v>
      </c>
    </row>
    <row r="129" spans="1:3">
      <c r="A129" t="s">
        <v>496</v>
      </c>
      <c r="B129" t="s">
        <v>497</v>
      </c>
      <c r="C129" t="s">
        <v>537</v>
      </c>
    </row>
    <row r="130" spans="1:3">
      <c r="A130" t="s">
        <v>432</v>
      </c>
      <c r="B130" t="s">
        <v>433</v>
      </c>
      <c r="C130" t="s">
        <v>537</v>
      </c>
    </row>
    <row r="131" spans="1:3">
      <c r="A131" t="s">
        <v>353</v>
      </c>
      <c r="B131" t="s">
        <v>354</v>
      </c>
      <c r="C131" t="s">
        <v>537</v>
      </c>
    </row>
    <row r="132" spans="1:3">
      <c r="A132" t="s">
        <v>379</v>
      </c>
      <c r="B132" t="s">
        <v>380</v>
      </c>
      <c r="C132" t="s">
        <v>537</v>
      </c>
    </row>
    <row r="133" spans="1:3">
      <c r="A133" t="s">
        <v>293</v>
      </c>
      <c r="B133" t="s">
        <v>294</v>
      </c>
      <c r="C133" t="s">
        <v>537</v>
      </c>
    </row>
    <row r="134" spans="1:3">
      <c r="A134" t="s">
        <v>319</v>
      </c>
      <c r="B134" t="s">
        <v>320</v>
      </c>
      <c r="C134" t="s">
        <v>537</v>
      </c>
    </row>
    <row r="135" spans="1:3">
      <c r="A135" t="s">
        <v>377</v>
      </c>
      <c r="B135" t="s">
        <v>378</v>
      </c>
      <c r="C135" t="s">
        <v>537</v>
      </c>
    </row>
    <row r="136" spans="1:3">
      <c r="A136" t="s">
        <v>398</v>
      </c>
      <c r="B136" t="s">
        <v>399</v>
      </c>
      <c r="C136" t="s">
        <v>537</v>
      </c>
    </row>
    <row r="137" spans="1:3">
      <c r="A137" t="s">
        <v>323</v>
      </c>
      <c r="B137" t="s">
        <v>324</v>
      </c>
      <c r="C137" t="s">
        <v>537</v>
      </c>
    </row>
    <row r="138" spans="1:3">
      <c r="A138" t="s">
        <v>412</v>
      </c>
      <c r="B138" t="s">
        <v>413</v>
      </c>
      <c r="C138" t="s">
        <v>537</v>
      </c>
    </row>
    <row r="139" spans="1:3">
      <c r="A139" t="s">
        <v>329</v>
      </c>
      <c r="B139" t="s">
        <v>330</v>
      </c>
      <c r="C139" t="s">
        <v>537</v>
      </c>
    </row>
    <row r="140" spans="1:3">
      <c r="A140" t="s">
        <v>357</v>
      </c>
      <c r="B140" t="s">
        <v>358</v>
      </c>
      <c r="C140" t="s">
        <v>537</v>
      </c>
    </row>
    <row r="141" spans="1:3">
      <c r="A141" t="s">
        <v>259</v>
      </c>
      <c r="B141" t="s">
        <v>260</v>
      </c>
      <c r="C141" t="s">
        <v>537</v>
      </c>
    </row>
    <row r="142" spans="1:3">
      <c r="A142" t="s">
        <v>476</v>
      </c>
      <c r="B142" t="s">
        <v>477</v>
      </c>
      <c r="C142" t="s">
        <v>537</v>
      </c>
    </row>
    <row r="143" spans="1:3">
      <c r="A143" t="s">
        <v>267</v>
      </c>
      <c r="B143" t="s">
        <v>268</v>
      </c>
      <c r="C143" t="s">
        <v>537</v>
      </c>
    </row>
    <row r="144" spans="1:3">
      <c r="A144" t="s">
        <v>404</v>
      </c>
      <c r="B144" t="s">
        <v>405</v>
      </c>
      <c r="C144" t="s">
        <v>537</v>
      </c>
    </row>
    <row r="145" spans="1:3">
      <c r="A145" t="s">
        <v>335</v>
      </c>
      <c r="B145" t="s">
        <v>336</v>
      </c>
      <c r="C145" t="s">
        <v>537</v>
      </c>
    </row>
    <row r="146" spans="1:3">
      <c r="A146" t="s">
        <v>394</v>
      </c>
      <c r="B146" t="s">
        <v>395</v>
      </c>
      <c r="C146" t="s">
        <v>537</v>
      </c>
    </row>
    <row r="147" spans="1:3">
      <c r="A147" t="s">
        <v>291</v>
      </c>
      <c r="B147" t="s">
        <v>242</v>
      </c>
      <c r="C147" t="s">
        <v>537</v>
      </c>
    </row>
    <row r="148" spans="1:3">
      <c r="A148" t="s">
        <v>333</v>
      </c>
      <c r="B148" t="s">
        <v>334</v>
      </c>
      <c r="C148" t="s">
        <v>537</v>
      </c>
    </row>
    <row r="149" spans="1:3">
      <c r="A149" t="s">
        <v>422</v>
      </c>
      <c r="B149" t="s">
        <v>423</v>
      </c>
      <c r="C149" t="s">
        <v>537</v>
      </c>
    </row>
    <row r="150" spans="1:3">
      <c r="A150" t="s">
        <v>488</v>
      </c>
      <c r="B150" t="s">
        <v>489</v>
      </c>
      <c r="C150" t="s">
        <v>537</v>
      </c>
    </row>
    <row r="151" spans="1:3">
      <c r="A151" t="s">
        <v>331</v>
      </c>
      <c r="B151" t="s">
        <v>332</v>
      </c>
      <c r="C151" t="s">
        <v>537</v>
      </c>
    </row>
    <row r="152" spans="1:3">
      <c r="A152" t="s">
        <v>247</v>
      </c>
      <c r="B152" t="s">
        <v>248</v>
      </c>
      <c r="C152" t="s">
        <v>537</v>
      </c>
    </row>
    <row r="153" spans="1:3">
      <c r="A153" t="s">
        <v>462</v>
      </c>
      <c r="B153" t="s">
        <v>463</v>
      </c>
      <c r="C153" t="s">
        <v>537</v>
      </c>
    </row>
    <row r="154" spans="1:3">
      <c r="A154" t="s">
        <v>492</v>
      </c>
      <c r="B154" t="s">
        <v>493</v>
      </c>
      <c r="C154" t="s">
        <v>537</v>
      </c>
    </row>
    <row r="155" spans="1:3">
      <c r="A155" t="s">
        <v>303</v>
      </c>
      <c r="B155" t="s">
        <v>304</v>
      </c>
      <c r="C155" t="s">
        <v>537</v>
      </c>
    </row>
  </sheetData>
  <dataValidations count="1">
    <dataValidation type="list" allowBlank="1" showInputMessage="1" showErrorMessage="1" sqref="C2:C155" xr:uid="{7AC57C89-CABA-4943-B945-48A56E89B049}">
      <formula1>"Compilation,Ranking,Skull Edit,Votkak Edit,Diğer"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103C-50DD-4A94-93EA-D0D2DDE72CA5}">
  <dimension ref="A1:D201"/>
  <sheetViews>
    <sheetView workbookViewId="0">
      <selection activeCell="G7" sqref="G7"/>
    </sheetView>
  </sheetViews>
  <sheetFormatPr defaultRowHeight="15"/>
  <cols>
    <col min="1" max="1" width="9.5703125" bestFit="1" customWidth="1"/>
    <col min="2" max="2" width="15.42578125" bestFit="1" customWidth="1"/>
    <col min="3" max="3" width="22.28515625" bestFit="1" customWidth="1"/>
    <col min="4" max="4" width="18.42578125" bestFit="1" customWidth="1"/>
    <col min="5" max="5" width="29.5703125" bestFit="1" customWidth="1"/>
  </cols>
  <sheetData>
    <row r="1" spans="1:4">
      <c r="A1" t="s">
        <v>21</v>
      </c>
      <c r="B1" t="s">
        <v>1</v>
      </c>
      <c r="C1" t="s">
        <v>2</v>
      </c>
      <c r="D1" t="s">
        <v>20</v>
      </c>
    </row>
    <row r="2" spans="1:4">
      <c r="A2" t="s">
        <v>22</v>
      </c>
      <c r="B2" s="3">
        <v>12406883</v>
      </c>
      <c r="C2" s="1">
        <v>32895.510600000001</v>
      </c>
      <c r="D2">
        <v>18</v>
      </c>
    </row>
    <row r="3" spans="1:4">
      <c r="A3" t="s">
        <v>23</v>
      </c>
      <c r="B3" s="3">
        <v>2798604</v>
      </c>
      <c r="C3" s="1">
        <v>7734.4683999999997</v>
      </c>
      <c r="D3">
        <v>18</v>
      </c>
    </row>
    <row r="4" spans="1:4">
      <c r="A4" t="s">
        <v>24</v>
      </c>
      <c r="B4" s="3">
        <v>1364102</v>
      </c>
      <c r="C4" s="1">
        <v>3751.2581</v>
      </c>
      <c r="D4">
        <v>18</v>
      </c>
    </row>
    <row r="5" spans="1:4">
      <c r="A5" t="s">
        <v>25</v>
      </c>
      <c r="B5" s="3">
        <v>1361945</v>
      </c>
      <c r="C5" s="1">
        <v>3791.2710000000002</v>
      </c>
      <c r="D5">
        <v>19</v>
      </c>
    </row>
    <row r="6" spans="1:4">
      <c r="A6" t="s">
        <v>26</v>
      </c>
      <c r="B6" s="3">
        <v>1309925</v>
      </c>
      <c r="C6" s="1">
        <v>4275.1202000000003</v>
      </c>
      <c r="D6">
        <v>21</v>
      </c>
    </row>
    <row r="7" spans="1:4">
      <c r="A7" t="s">
        <v>27</v>
      </c>
      <c r="B7" s="3">
        <v>813070</v>
      </c>
      <c r="C7" s="1">
        <v>2625.1664999999998</v>
      </c>
      <c r="D7">
        <v>21</v>
      </c>
    </row>
    <row r="8" spans="1:4">
      <c r="A8" t="s">
        <v>28</v>
      </c>
      <c r="B8" s="3">
        <v>758179</v>
      </c>
      <c r="C8" s="1">
        <v>2117.7352000000001</v>
      </c>
      <c r="D8">
        <v>18</v>
      </c>
    </row>
    <row r="9" spans="1:4">
      <c r="A9" t="s">
        <v>29</v>
      </c>
      <c r="B9" s="3">
        <v>603309</v>
      </c>
      <c r="C9" s="1">
        <v>1852.7855999999999</v>
      </c>
      <c r="D9">
        <v>20</v>
      </c>
    </row>
    <row r="10" spans="1:4">
      <c r="A10" t="s">
        <v>30</v>
      </c>
      <c r="B10" s="3">
        <v>586927</v>
      </c>
      <c r="C10" s="1">
        <v>1704.0954999999999</v>
      </c>
      <c r="D10">
        <v>19</v>
      </c>
    </row>
    <row r="11" spans="1:4">
      <c r="A11" t="s">
        <v>31</v>
      </c>
      <c r="B11" s="3">
        <v>577855</v>
      </c>
      <c r="C11" s="1">
        <v>1646.0262</v>
      </c>
      <c r="D11">
        <v>19</v>
      </c>
    </row>
    <row r="12" spans="1:4">
      <c r="A12" t="s">
        <v>32</v>
      </c>
      <c r="B12" s="3">
        <v>533134</v>
      </c>
      <c r="C12" s="1">
        <v>1632.7494999999999</v>
      </c>
      <c r="D12">
        <v>21</v>
      </c>
    </row>
    <row r="13" spans="1:4">
      <c r="A13" t="s">
        <v>33</v>
      </c>
      <c r="B13" s="3">
        <v>513729</v>
      </c>
      <c r="C13" s="1">
        <v>1471.1824999999999</v>
      </c>
      <c r="D13">
        <v>19</v>
      </c>
    </row>
    <row r="14" spans="1:4">
      <c r="A14" t="s">
        <v>34</v>
      </c>
      <c r="B14" s="3">
        <v>455388</v>
      </c>
      <c r="C14" s="1">
        <v>1321.5531000000001</v>
      </c>
      <c r="D14">
        <v>18</v>
      </c>
    </row>
    <row r="15" spans="1:4">
      <c r="A15" t="s">
        <v>35</v>
      </c>
      <c r="B15" s="3">
        <v>424726</v>
      </c>
      <c r="C15" s="1">
        <v>1344.8982000000001</v>
      </c>
      <c r="D15">
        <v>21</v>
      </c>
    </row>
    <row r="16" spans="1:4">
      <c r="A16" t="s">
        <v>36</v>
      </c>
      <c r="B16" s="3">
        <v>420740</v>
      </c>
      <c r="C16" s="1">
        <v>1200.9253000000001</v>
      </c>
      <c r="D16">
        <v>18</v>
      </c>
    </row>
    <row r="17" spans="1:4">
      <c r="A17" t="s">
        <v>37</v>
      </c>
      <c r="B17" s="3">
        <v>399404</v>
      </c>
      <c r="C17" s="1">
        <v>1142.9767999999999</v>
      </c>
      <c r="D17">
        <v>19</v>
      </c>
    </row>
    <row r="18" spans="1:4">
      <c r="A18" t="s">
        <v>38</v>
      </c>
      <c r="B18" s="3">
        <v>389498</v>
      </c>
      <c r="C18" s="1">
        <v>1114.1748</v>
      </c>
      <c r="D18">
        <v>18</v>
      </c>
    </row>
    <row r="19" spans="1:4">
      <c r="A19" t="s">
        <v>39</v>
      </c>
      <c r="B19" s="3">
        <v>382710</v>
      </c>
      <c r="C19" s="1">
        <v>1104.5286000000001</v>
      </c>
      <c r="D19">
        <v>19</v>
      </c>
    </row>
    <row r="20" spans="1:4">
      <c r="A20" t="s">
        <v>40</v>
      </c>
      <c r="B20" s="3">
        <v>380495</v>
      </c>
      <c r="C20" s="1">
        <v>1196.5664999999999</v>
      </c>
      <c r="D20">
        <v>20</v>
      </c>
    </row>
    <row r="21" spans="1:4">
      <c r="A21" t="s">
        <v>41</v>
      </c>
      <c r="B21" s="3">
        <v>363083</v>
      </c>
      <c r="C21" s="1">
        <v>1140.8381999999999</v>
      </c>
      <c r="D21">
        <v>21</v>
      </c>
    </row>
    <row r="22" spans="1:4">
      <c r="A22" t="s">
        <v>42</v>
      </c>
      <c r="B22" s="3">
        <v>358203</v>
      </c>
      <c r="C22" s="1">
        <v>1063.4295</v>
      </c>
      <c r="D22">
        <v>19</v>
      </c>
    </row>
    <row r="23" spans="1:4">
      <c r="A23" t="s">
        <v>43</v>
      </c>
      <c r="B23" s="3">
        <v>355991</v>
      </c>
      <c r="C23" s="1">
        <v>990.0598</v>
      </c>
      <c r="D23">
        <v>19</v>
      </c>
    </row>
    <row r="24" spans="1:4">
      <c r="A24" t="s">
        <v>44</v>
      </c>
      <c r="B24" s="3">
        <v>327831</v>
      </c>
      <c r="C24" s="1">
        <v>968.23979999999995</v>
      </c>
      <c r="D24">
        <v>19</v>
      </c>
    </row>
    <row r="25" spans="1:4">
      <c r="A25" t="s">
        <v>45</v>
      </c>
      <c r="B25" s="3">
        <v>326770</v>
      </c>
      <c r="C25" s="1">
        <v>983.56790000000001</v>
      </c>
      <c r="D25">
        <v>20</v>
      </c>
    </row>
    <row r="26" spans="1:4">
      <c r="A26" t="s">
        <v>46</v>
      </c>
      <c r="B26" s="3">
        <v>307148</v>
      </c>
      <c r="C26" s="1">
        <v>896.67989999999998</v>
      </c>
      <c r="D26">
        <v>19</v>
      </c>
    </row>
    <row r="27" spans="1:4">
      <c r="A27" t="s">
        <v>47</v>
      </c>
      <c r="B27" s="3">
        <v>265284</v>
      </c>
      <c r="C27" s="1">
        <v>802.43299999999999</v>
      </c>
      <c r="D27">
        <v>20</v>
      </c>
    </row>
    <row r="28" spans="1:4">
      <c r="A28" t="s">
        <v>48</v>
      </c>
      <c r="B28" s="3">
        <v>243430</v>
      </c>
      <c r="C28" s="1">
        <v>688.46559999999999</v>
      </c>
      <c r="D28">
        <v>19</v>
      </c>
    </row>
    <row r="29" spans="1:4">
      <c r="A29" t="s">
        <v>49</v>
      </c>
      <c r="B29" s="3">
        <v>239554</v>
      </c>
      <c r="C29" s="1">
        <v>665.52930000000003</v>
      </c>
      <c r="D29">
        <v>19</v>
      </c>
    </row>
    <row r="30" spans="1:4">
      <c r="A30" t="s">
        <v>50</v>
      </c>
      <c r="B30" s="3">
        <v>221021</v>
      </c>
      <c r="C30" s="1">
        <v>616.43050000000005</v>
      </c>
      <c r="D30">
        <v>18</v>
      </c>
    </row>
    <row r="31" spans="1:4">
      <c r="A31" t="s">
        <v>51</v>
      </c>
      <c r="B31" s="3">
        <v>218483</v>
      </c>
      <c r="C31" s="1">
        <v>617.51779999999997</v>
      </c>
      <c r="D31">
        <v>18</v>
      </c>
    </row>
    <row r="32" spans="1:4">
      <c r="A32" t="s">
        <v>52</v>
      </c>
      <c r="B32" s="3">
        <v>211540</v>
      </c>
      <c r="C32" s="1">
        <v>598.80409999999995</v>
      </c>
      <c r="D32">
        <v>18</v>
      </c>
    </row>
    <row r="33" spans="1:4">
      <c r="A33" t="s">
        <v>53</v>
      </c>
      <c r="B33" s="3">
        <v>194061</v>
      </c>
      <c r="C33" s="1">
        <v>547.11800000000005</v>
      </c>
      <c r="D33">
        <v>19</v>
      </c>
    </row>
    <row r="34" spans="1:4">
      <c r="A34" t="s">
        <v>54</v>
      </c>
      <c r="B34" s="3">
        <v>188308</v>
      </c>
      <c r="C34" s="1">
        <v>557.48620000000005</v>
      </c>
      <c r="D34">
        <v>19</v>
      </c>
    </row>
    <row r="35" spans="1:4">
      <c r="A35" t="s">
        <v>55</v>
      </c>
      <c r="B35" s="3">
        <v>181215</v>
      </c>
      <c r="C35" s="1">
        <v>520.27089999999998</v>
      </c>
      <c r="D35">
        <v>19</v>
      </c>
    </row>
    <row r="36" spans="1:4">
      <c r="A36" t="s">
        <v>56</v>
      </c>
      <c r="B36" s="3">
        <v>174398</v>
      </c>
      <c r="C36" s="1">
        <v>523.17809999999997</v>
      </c>
      <c r="D36">
        <v>20</v>
      </c>
    </row>
    <row r="37" spans="1:4">
      <c r="A37" t="s">
        <v>57</v>
      </c>
      <c r="B37" s="3">
        <v>170644</v>
      </c>
      <c r="C37" s="1">
        <v>516.19680000000005</v>
      </c>
      <c r="D37">
        <v>19</v>
      </c>
    </row>
    <row r="38" spans="1:4">
      <c r="A38" t="s">
        <v>58</v>
      </c>
      <c r="B38" s="3">
        <v>166711</v>
      </c>
      <c r="C38" s="1">
        <v>508.71469999999999</v>
      </c>
      <c r="D38">
        <v>20</v>
      </c>
    </row>
    <row r="39" spans="1:4">
      <c r="A39" t="s">
        <v>59</v>
      </c>
      <c r="B39" s="3">
        <v>164275</v>
      </c>
      <c r="C39" s="1">
        <v>469.59449999999998</v>
      </c>
      <c r="D39">
        <v>19</v>
      </c>
    </row>
    <row r="40" spans="1:4">
      <c r="A40" t="s">
        <v>60</v>
      </c>
      <c r="B40" s="3">
        <v>159754</v>
      </c>
      <c r="C40" s="1">
        <v>464.85160000000002</v>
      </c>
      <c r="D40">
        <v>19</v>
      </c>
    </row>
    <row r="41" spans="1:4">
      <c r="A41" t="s">
        <v>61</v>
      </c>
      <c r="B41" s="3">
        <v>154037</v>
      </c>
      <c r="C41" s="1">
        <v>430.38200000000001</v>
      </c>
      <c r="D41">
        <v>19</v>
      </c>
    </row>
    <row r="42" spans="1:4">
      <c r="A42" t="s">
        <v>62</v>
      </c>
      <c r="B42" s="3">
        <v>139148</v>
      </c>
      <c r="C42" s="1">
        <v>417.91370000000001</v>
      </c>
      <c r="D42">
        <v>20</v>
      </c>
    </row>
    <row r="43" spans="1:4">
      <c r="A43" t="s">
        <v>63</v>
      </c>
      <c r="B43" s="3">
        <v>138751</v>
      </c>
      <c r="C43" s="1">
        <v>389.67430000000002</v>
      </c>
      <c r="D43">
        <v>19</v>
      </c>
    </row>
    <row r="44" spans="1:4">
      <c r="A44" t="s">
        <v>64</v>
      </c>
      <c r="B44" s="3">
        <v>126543</v>
      </c>
      <c r="C44" s="1">
        <v>355.86849999999998</v>
      </c>
      <c r="D44">
        <v>19</v>
      </c>
    </row>
    <row r="45" spans="1:4">
      <c r="A45" t="s">
        <v>65</v>
      </c>
      <c r="B45" s="3">
        <v>110218</v>
      </c>
      <c r="C45" s="1">
        <v>320.72309999999999</v>
      </c>
      <c r="D45">
        <v>19</v>
      </c>
    </row>
    <row r="46" spans="1:4">
      <c r="A46" t="s">
        <v>66</v>
      </c>
      <c r="B46" s="3">
        <v>108166</v>
      </c>
      <c r="C46" s="1">
        <v>336.01310000000001</v>
      </c>
      <c r="D46">
        <v>20</v>
      </c>
    </row>
    <row r="47" spans="1:4">
      <c r="A47" t="s">
        <v>67</v>
      </c>
      <c r="B47" s="3">
        <v>105850</v>
      </c>
      <c r="C47" s="1">
        <v>295.02159999999998</v>
      </c>
      <c r="D47">
        <v>19</v>
      </c>
    </row>
    <row r="48" spans="1:4">
      <c r="A48" t="s">
        <v>68</v>
      </c>
      <c r="B48" s="3">
        <v>102493</v>
      </c>
      <c r="C48" s="1">
        <v>330.92739999999998</v>
      </c>
      <c r="D48">
        <v>21</v>
      </c>
    </row>
    <row r="49" spans="1:4">
      <c r="A49" t="s">
        <v>69</v>
      </c>
      <c r="B49" s="3">
        <v>100172</v>
      </c>
      <c r="C49" s="1">
        <v>286.74110000000002</v>
      </c>
      <c r="D49">
        <v>19</v>
      </c>
    </row>
    <row r="50" spans="1:4">
      <c r="A50" t="s">
        <v>70</v>
      </c>
      <c r="B50" s="3">
        <v>89271</v>
      </c>
      <c r="C50" s="1">
        <v>290.92790000000002</v>
      </c>
      <c r="D50">
        <v>22</v>
      </c>
    </row>
    <row r="51" spans="1:4">
      <c r="A51" t="s">
        <v>71</v>
      </c>
      <c r="B51" s="3">
        <v>87700</v>
      </c>
      <c r="C51" s="1">
        <v>272.28969999999998</v>
      </c>
      <c r="D51">
        <v>21</v>
      </c>
    </row>
    <row r="52" spans="1:4">
      <c r="A52" t="s">
        <v>72</v>
      </c>
      <c r="B52" s="3">
        <v>86649</v>
      </c>
      <c r="C52" s="1">
        <v>260.87880000000001</v>
      </c>
      <c r="D52">
        <v>19</v>
      </c>
    </row>
    <row r="53" spans="1:4">
      <c r="A53" t="s">
        <v>73</v>
      </c>
      <c r="B53" s="3">
        <v>84338</v>
      </c>
      <c r="C53" s="1">
        <v>256.27359999999999</v>
      </c>
      <c r="D53">
        <v>21</v>
      </c>
    </row>
    <row r="54" spans="1:4">
      <c r="A54" t="s">
        <v>74</v>
      </c>
      <c r="B54" s="3">
        <v>75771</v>
      </c>
      <c r="C54" s="1">
        <v>258.21120000000002</v>
      </c>
      <c r="D54">
        <v>22</v>
      </c>
    </row>
    <row r="55" spans="1:4">
      <c r="A55" t="s">
        <v>75</v>
      </c>
      <c r="B55" s="3">
        <v>73212</v>
      </c>
      <c r="C55" s="1">
        <v>204.73509999999999</v>
      </c>
      <c r="D55">
        <v>19</v>
      </c>
    </row>
    <row r="56" spans="1:4">
      <c r="A56" t="s">
        <v>76</v>
      </c>
      <c r="B56" s="3">
        <v>72684</v>
      </c>
      <c r="C56" s="1">
        <v>201.01650000000001</v>
      </c>
      <c r="D56">
        <v>17</v>
      </c>
    </row>
    <row r="57" spans="1:4">
      <c r="A57" t="s">
        <v>77</v>
      </c>
      <c r="B57" s="3">
        <v>72472</v>
      </c>
      <c r="C57" s="1">
        <v>210.60069999999999</v>
      </c>
      <c r="D57">
        <v>19</v>
      </c>
    </row>
    <row r="58" spans="1:4">
      <c r="A58" t="s">
        <v>78</v>
      </c>
      <c r="B58" s="3">
        <v>72075</v>
      </c>
      <c r="C58" s="1">
        <v>193.11949999999999</v>
      </c>
      <c r="D58">
        <v>18</v>
      </c>
    </row>
    <row r="59" spans="1:4">
      <c r="A59" t="s">
        <v>79</v>
      </c>
      <c r="B59" s="3">
        <v>62562</v>
      </c>
      <c r="C59" s="1">
        <v>178.08090000000001</v>
      </c>
      <c r="D59">
        <v>19</v>
      </c>
    </row>
    <row r="60" spans="1:4">
      <c r="A60" t="s">
        <v>80</v>
      </c>
      <c r="B60" s="3">
        <v>62033</v>
      </c>
      <c r="C60" s="1">
        <v>190.73140000000001</v>
      </c>
      <c r="D60">
        <v>20</v>
      </c>
    </row>
    <row r="61" spans="1:4">
      <c r="A61" t="s">
        <v>81</v>
      </c>
      <c r="B61" s="3">
        <v>60072</v>
      </c>
      <c r="C61" s="1">
        <v>172.81209999999999</v>
      </c>
      <c r="D61">
        <v>19</v>
      </c>
    </row>
    <row r="62" spans="1:4">
      <c r="A62" t="s">
        <v>82</v>
      </c>
      <c r="B62" s="3">
        <v>59708</v>
      </c>
      <c r="C62" s="1">
        <v>174.28219999999999</v>
      </c>
      <c r="D62">
        <v>19</v>
      </c>
    </row>
    <row r="63" spans="1:4">
      <c r="A63" t="s">
        <v>83</v>
      </c>
      <c r="B63" s="3">
        <v>59234</v>
      </c>
      <c r="C63" s="1">
        <v>161.3278</v>
      </c>
      <c r="D63">
        <v>19</v>
      </c>
    </row>
    <row r="64" spans="1:4">
      <c r="A64" t="s">
        <v>84</v>
      </c>
      <c r="B64" s="3">
        <v>58470</v>
      </c>
      <c r="C64" s="1">
        <v>179.1404</v>
      </c>
      <c r="D64">
        <v>21</v>
      </c>
    </row>
    <row r="65" spans="1:4">
      <c r="A65" t="s">
        <v>85</v>
      </c>
      <c r="B65" s="3">
        <v>57447</v>
      </c>
      <c r="C65" s="1">
        <v>155.9513</v>
      </c>
      <c r="D65">
        <v>18</v>
      </c>
    </row>
    <row r="66" spans="1:4">
      <c r="A66" t="s">
        <v>86</v>
      </c>
      <c r="B66" s="3">
        <v>56563</v>
      </c>
      <c r="C66" s="1">
        <v>164.33709999999999</v>
      </c>
      <c r="D66">
        <v>19</v>
      </c>
    </row>
    <row r="67" spans="1:4">
      <c r="A67" t="s">
        <v>87</v>
      </c>
      <c r="B67" s="3">
        <v>55697</v>
      </c>
      <c r="C67" s="1">
        <v>170.4093</v>
      </c>
      <c r="D67">
        <v>20</v>
      </c>
    </row>
    <row r="68" spans="1:4">
      <c r="A68" t="s">
        <v>88</v>
      </c>
      <c r="B68" s="3">
        <v>54016</v>
      </c>
      <c r="C68" s="1">
        <v>157.78</v>
      </c>
      <c r="D68">
        <v>20</v>
      </c>
    </row>
    <row r="69" spans="1:4">
      <c r="A69" t="s">
        <v>89</v>
      </c>
      <c r="B69" s="3">
        <v>53465</v>
      </c>
      <c r="C69" s="1">
        <v>148.1524</v>
      </c>
      <c r="D69">
        <v>19</v>
      </c>
    </row>
    <row r="70" spans="1:4">
      <c r="A70" t="s">
        <v>90</v>
      </c>
      <c r="B70" s="3">
        <v>53443</v>
      </c>
      <c r="C70" s="1">
        <v>150.83000000000001</v>
      </c>
      <c r="D70">
        <v>19</v>
      </c>
    </row>
    <row r="71" spans="1:4">
      <c r="A71" t="s">
        <v>91</v>
      </c>
      <c r="B71" s="3">
        <v>52721</v>
      </c>
      <c r="C71" s="1">
        <v>153.42140000000001</v>
      </c>
      <c r="D71">
        <v>19</v>
      </c>
    </row>
    <row r="72" spans="1:4">
      <c r="A72" t="s">
        <v>92</v>
      </c>
      <c r="B72" s="3">
        <v>52588</v>
      </c>
      <c r="C72" s="1">
        <v>150.8682</v>
      </c>
      <c r="D72">
        <v>20</v>
      </c>
    </row>
    <row r="73" spans="1:4">
      <c r="A73" t="s">
        <v>93</v>
      </c>
      <c r="B73" s="3">
        <v>52168</v>
      </c>
      <c r="C73" s="1">
        <v>148.4179</v>
      </c>
      <c r="D73">
        <v>19</v>
      </c>
    </row>
    <row r="74" spans="1:4">
      <c r="A74" t="s">
        <v>94</v>
      </c>
      <c r="B74" s="3">
        <v>50346</v>
      </c>
      <c r="C74" s="1">
        <v>147.29179999999999</v>
      </c>
      <c r="D74">
        <v>19</v>
      </c>
    </row>
    <row r="75" spans="1:4">
      <c r="A75" t="s">
        <v>95</v>
      </c>
      <c r="B75" s="3">
        <v>47417</v>
      </c>
      <c r="C75" s="1">
        <v>145.40219999999999</v>
      </c>
      <c r="D75">
        <v>21</v>
      </c>
    </row>
    <row r="76" spans="1:4">
      <c r="A76" t="s">
        <v>96</v>
      </c>
      <c r="B76" s="3">
        <v>47358</v>
      </c>
      <c r="C76" s="1">
        <v>139.94579999999999</v>
      </c>
      <c r="D76">
        <v>19</v>
      </c>
    </row>
    <row r="77" spans="1:4">
      <c r="A77" t="s">
        <v>97</v>
      </c>
      <c r="B77" s="3">
        <v>47276</v>
      </c>
      <c r="C77" s="1">
        <v>146.29849999999999</v>
      </c>
      <c r="D77">
        <v>21</v>
      </c>
    </row>
    <row r="78" spans="1:4">
      <c r="A78" t="s">
        <v>98</v>
      </c>
      <c r="B78" s="3">
        <v>46928</v>
      </c>
      <c r="C78" s="1">
        <v>135.4623</v>
      </c>
      <c r="D78">
        <v>19</v>
      </c>
    </row>
    <row r="79" spans="1:4">
      <c r="A79" t="s">
        <v>99</v>
      </c>
      <c r="B79" s="3">
        <v>41886</v>
      </c>
      <c r="C79" s="1">
        <v>125.34690000000001</v>
      </c>
      <c r="D79">
        <v>20</v>
      </c>
    </row>
    <row r="80" spans="1:4">
      <c r="A80" t="s">
        <v>100</v>
      </c>
      <c r="B80" s="3">
        <v>40566</v>
      </c>
      <c r="C80" s="1">
        <v>118.68470000000001</v>
      </c>
      <c r="D80">
        <v>19</v>
      </c>
    </row>
    <row r="81" spans="1:4">
      <c r="A81" t="s">
        <v>101</v>
      </c>
      <c r="B81" s="3">
        <v>40195</v>
      </c>
      <c r="C81" s="1">
        <v>109.25230000000001</v>
      </c>
      <c r="D81">
        <v>19</v>
      </c>
    </row>
    <row r="82" spans="1:4">
      <c r="A82" t="s">
        <v>102</v>
      </c>
      <c r="B82" s="3">
        <v>39559</v>
      </c>
      <c r="C82" s="1">
        <v>109.9186</v>
      </c>
      <c r="D82">
        <v>18</v>
      </c>
    </row>
    <row r="83" spans="1:4">
      <c r="A83" t="s">
        <v>103</v>
      </c>
      <c r="B83" s="3">
        <v>39416</v>
      </c>
      <c r="C83" s="1">
        <v>115.2139</v>
      </c>
      <c r="D83">
        <v>19</v>
      </c>
    </row>
    <row r="84" spans="1:4">
      <c r="A84" t="s">
        <v>104</v>
      </c>
      <c r="B84" s="3">
        <v>38244</v>
      </c>
      <c r="C84" s="1">
        <v>116.8931</v>
      </c>
      <c r="D84">
        <v>20</v>
      </c>
    </row>
    <row r="85" spans="1:4">
      <c r="A85" t="s">
        <v>105</v>
      </c>
      <c r="B85" s="3">
        <v>38241</v>
      </c>
      <c r="C85" s="1">
        <v>113.5765</v>
      </c>
      <c r="D85">
        <v>19</v>
      </c>
    </row>
    <row r="86" spans="1:4">
      <c r="A86" t="s">
        <v>106</v>
      </c>
      <c r="B86" s="3">
        <v>37407</v>
      </c>
      <c r="C86" s="1">
        <v>107.26139999999999</v>
      </c>
      <c r="D86">
        <v>19</v>
      </c>
    </row>
    <row r="87" spans="1:4">
      <c r="A87" t="s">
        <v>107</v>
      </c>
      <c r="B87" s="3">
        <v>36286</v>
      </c>
      <c r="C87" s="1">
        <v>98.587500000000006</v>
      </c>
      <c r="D87">
        <v>18</v>
      </c>
    </row>
    <row r="88" spans="1:4">
      <c r="A88" t="s">
        <v>108</v>
      </c>
      <c r="B88" s="3">
        <v>36081</v>
      </c>
      <c r="C88" s="1">
        <v>103.11360000000001</v>
      </c>
      <c r="D88">
        <v>18</v>
      </c>
    </row>
    <row r="89" spans="1:4">
      <c r="A89" t="s">
        <v>109</v>
      </c>
      <c r="B89" s="3">
        <v>33711</v>
      </c>
      <c r="C89" s="1">
        <v>97.749700000000004</v>
      </c>
      <c r="D89">
        <v>19</v>
      </c>
    </row>
    <row r="90" spans="1:4">
      <c r="A90" t="s">
        <v>110</v>
      </c>
      <c r="B90" s="3">
        <v>33551</v>
      </c>
      <c r="C90" s="1">
        <v>99.661500000000004</v>
      </c>
      <c r="D90">
        <v>20</v>
      </c>
    </row>
    <row r="91" spans="1:4">
      <c r="A91" t="s">
        <v>111</v>
      </c>
      <c r="B91" s="3">
        <v>33068</v>
      </c>
      <c r="C91" s="1">
        <v>95.117900000000006</v>
      </c>
      <c r="D91">
        <v>20</v>
      </c>
    </row>
    <row r="92" spans="1:4">
      <c r="A92" t="s">
        <v>112</v>
      </c>
      <c r="B92" s="3">
        <v>30828</v>
      </c>
      <c r="C92" s="1">
        <v>92.912899999999993</v>
      </c>
      <c r="D92">
        <v>20</v>
      </c>
    </row>
    <row r="93" spans="1:4">
      <c r="A93" t="s">
        <v>113</v>
      </c>
      <c r="B93" s="3">
        <v>30753</v>
      </c>
      <c r="C93" s="1">
        <v>88.754300000000001</v>
      </c>
      <c r="D93">
        <v>19</v>
      </c>
    </row>
    <row r="94" spans="1:4">
      <c r="A94" t="s">
        <v>114</v>
      </c>
      <c r="B94" s="3">
        <v>30297</v>
      </c>
      <c r="C94" s="1">
        <v>94.930199999999999</v>
      </c>
      <c r="D94">
        <v>20</v>
      </c>
    </row>
    <row r="95" spans="1:4">
      <c r="A95" t="s">
        <v>115</v>
      </c>
      <c r="B95" s="3">
        <v>28445</v>
      </c>
      <c r="C95" s="1">
        <v>94.302000000000007</v>
      </c>
      <c r="D95">
        <v>22</v>
      </c>
    </row>
    <row r="96" spans="1:4">
      <c r="A96" t="s">
        <v>116</v>
      </c>
      <c r="B96" s="3">
        <v>28284</v>
      </c>
      <c r="C96" s="1">
        <v>82.493700000000004</v>
      </c>
      <c r="D96">
        <v>20</v>
      </c>
    </row>
    <row r="97" spans="1:4">
      <c r="A97" t="s">
        <v>117</v>
      </c>
      <c r="B97" s="3">
        <v>27114</v>
      </c>
      <c r="C97" s="1">
        <v>78.999700000000004</v>
      </c>
      <c r="D97">
        <v>20</v>
      </c>
    </row>
    <row r="98" spans="1:4">
      <c r="A98" t="s">
        <v>118</v>
      </c>
      <c r="B98" s="3">
        <v>26742</v>
      </c>
      <c r="C98" s="1">
        <v>82.696299999999994</v>
      </c>
      <c r="D98">
        <v>20</v>
      </c>
    </row>
    <row r="99" spans="1:4">
      <c r="A99" t="s">
        <v>119</v>
      </c>
      <c r="B99" s="3">
        <v>25675</v>
      </c>
      <c r="C99" s="1">
        <v>73.001999999999995</v>
      </c>
      <c r="D99">
        <v>19</v>
      </c>
    </row>
    <row r="100" spans="1:4">
      <c r="A100" t="s">
        <v>120</v>
      </c>
      <c r="B100" s="3">
        <v>22965</v>
      </c>
      <c r="C100" s="1">
        <v>67.234300000000005</v>
      </c>
      <c r="D100">
        <v>19</v>
      </c>
    </row>
    <row r="101" spans="1:4">
      <c r="A101" t="s">
        <v>121</v>
      </c>
      <c r="B101" s="3">
        <v>20641</v>
      </c>
      <c r="C101" s="1">
        <v>59.271599999999999</v>
      </c>
      <c r="D101">
        <v>19</v>
      </c>
    </row>
    <row r="102" spans="1:4">
      <c r="A102" t="s">
        <v>122</v>
      </c>
      <c r="B102" s="3">
        <v>18095</v>
      </c>
      <c r="C102" s="1">
        <v>55.454700000000003</v>
      </c>
      <c r="D102">
        <v>20</v>
      </c>
    </row>
    <row r="103" spans="1:4">
      <c r="A103" t="s">
        <v>123</v>
      </c>
      <c r="B103" s="3">
        <v>17940</v>
      </c>
      <c r="C103" s="1">
        <v>48.514000000000003</v>
      </c>
      <c r="D103">
        <v>18</v>
      </c>
    </row>
    <row r="104" spans="1:4">
      <c r="A104" t="s">
        <v>124</v>
      </c>
      <c r="B104" s="3">
        <v>17441</v>
      </c>
      <c r="C104" s="1">
        <v>48.7194</v>
      </c>
      <c r="D104">
        <v>19</v>
      </c>
    </row>
    <row r="105" spans="1:4">
      <c r="A105" t="s">
        <v>125</v>
      </c>
      <c r="B105" s="3">
        <v>17217</v>
      </c>
      <c r="C105" s="1">
        <v>47.812800000000003</v>
      </c>
      <c r="D105">
        <v>19</v>
      </c>
    </row>
    <row r="106" spans="1:4">
      <c r="A106" t="s">
        <v>126</v>
      </c>
      <c r="B106" s="3">
        <v>16816</v>
      </c>
      <c r="C106" s="1">
        <v>50.859099999999998</v>
      </c>
      <c r="D106">
        <v>20</v>
      </c>
    </row>
    <row r="107" spans="1:4">
      <c r="A107" t="s">
        <v>127</v>
      </c>
      <c r="B107" s="3">
        <v>16706</v>
      </c>
      <c r="C107" s="1">
        <v>50.458500000000001</v>
      </c>
      <c r="D107">
        <v>20</v>
      </c>
    </row>
    <row r="108" spans="1:4">
      <c r="A108" t="s">
        <v>128</v>
      </c>
      <c r="B108" s="3">
        <v>15749</v>
      </c>
      <c r="C108" s="1">
        <v>48.566299999999998</v>
      </c>
      <c r="D108">
        <v>20</v>
      </c>
    </row>
    <row r="109" spans="1:4">
      <c r="A109" t="s">
        <v>129</v>
      </c>
      <c r="B109" s="3">
        <v>15020</v>
      </c>
      <c r="C109" s="1">
        <v>47.914900000000003</v>
      </c>
      <c r="D109">
        <v>21</v>
      </c>
    </row>
    <row r="110" spans="1:4">
      <c r="A110" t="s">
        <v>130</v>
      </c>
      <c r="B110" s="3">
        <v>14883</v>
      </c>
      <c r="C110" s="1">
        <v>47.4968</v>
      </c>
      <c r="D110">
        <v>22</v>
      </c>
    </row>
    <row r="111" spans="1:4">
      <c r="A111" t="s">
        <v>131</v>
      </c>
      <c r="B111" s="3">
        <v>14592</v>
      </c>
      <c r="C111" s="1">
        <v>40.323500000000003</v>
      </c>
      <c r="D111">
        <v>18</v>
      </c>
    </row>
    <row r="112" spans="1:4">
      <c r="A112" t="s">
        <v>132</v>
      </c>
      <c r="B112" s="3">
        <v>14402</v>
      </c>
      <c r="C112" s="1">
        <v>43.005800000000001</v>
      </c>
      <c r="D112">
        <v>20</v>
      </c>
    </row>
    <row r="113" spans="1:4">
      <c r="A113" t="s">
        <v>133</v>
      </c>
      <c r="B113" s="3">
        <v>14275</v>
      </c>
      <c r="C113" s="1">
        <v>44.421599999999998</v>
      </c>
      <c r="D113">
        <v>21</v>
      </c>
    </row>
    <row r="114" spans="1:4">
      <c r="A114" t="s">
        <v>134</v>
      </c>
      <c r="B114" s="3">
        <v>13386</v>
      </c>
      <c r="C114" s="1">
        <v>40.691400000000002</v>
      </c>
      <c r="D114">
        <v>20</v>
      </c>
    </row>
    <row r="115" spans="1:4">
      <c r="A115" t="s">
        <v>135</v>
      </c>
      <c r="B115" s="3">
        <v>13108</v>
      </c>
      <c r="C115" s="1">
        <v>38.204000000000001</v>
      </c>
      <c r="D115">
        <v>19</v>
      </c>
    </row>
    <row r="116" spans="1:4">
      <c r="A116" t="s">
        <v>136</v>
      </c>
      <c r="B116" s="3">
        <v>13004</v>
      </c>
      <c r="C116" s="1">
        <v>37.718299999999999</v>
      </c>
      <c r="D116">
        <v>19</v>
      </c>
    </row>
    <row r="117" spans="1:4">
      <c r="A117" t="s">
        <v>137</v>
      </c>
      <c r="B117" s="3">
        <v>12630</v>
      </c>
      <c r="C117" s="1">
        <v>36.285899999999998</v>
      </c>
      <c r="D117">
        <v>19</v>
      </c>
    </row>
    <row r="118" spans="1:4">
      <c r="A118" t="s">
        <v>138</v>
      </c>
      <c r="B118" s="3">
        <v>12626</v>
      </c>
      <c r="C118" s="1">
        <v>37.347799999999999</v>
      </c>
      <c r="D118">
        <v>20</v>
      </c>
    </row>
    <row r="119" spans="1:4">
      <c r="A119" t="s">
        <v>139</v>
      </c>
      <c r="B119" s="3">
        <v>11759</v>
      </c>
      <c r="C119" s="1">
        <v>35.722499999999997</v>
      </c>
      <c r="D119">
        <v>20</v>
      </c>
    </row>
    <row r="120" spans="1:4">
      <c r="A120" t="s">
        <v>140</v>
      </c>
      <c r="B120" s="3">
        <v>11662</v>
      </c>
      <c r="C120" s="1">
        <v>35.937600000000003</v>
      </c>
      <c r="D120">
        <v>20</v>
      </c>
    </row>
    <row r="121" spans="1:4">
      <c r="A121" t="s">
        <v>141</v>
      </c>
      <c r="B121" s="3">
        <v>11558</v>
      </c>
      <c r="C121" s="1">
        <v>34.509</v>
      </c>
      <c r="D121">
        <v>19</v>
      </c>
    </row>
    <row r="122" spans="1:4">
      <c r="A122" t="s">
        <v>142</v>
      </c>
      <c r="B122" s="3">
        <v>11531</v>
      </c>
      <c r="C122" s="1">
        <v>34.534100000000002</v>
      </c>
      <c r="D122">
        <v>20</v>
      </c>
    </row>
    <row r="123" spans="1:4">
      <c r="A123" t="s">
        <v>143</v>
      </c>
      <c r="B123" s="3">
        <v>11522</v>
      </c>
      <c r="C123" s="1">
        <v>35.932400000000001</v>
      </c>
      <c r="D123">
        <v>21</v>
      </c>
    </row>
    <row r="124" spans="1:4">
      <c r="A124" t="s">
        <v>144</v>
      </c>
      <c r="B124" s="3">
        <v>11079</v>
      </c>
      <c r="C124" s="1">
        <v>33.0623</v>
      </c>
      <c r="D124">
        <v>19</v>
      </c>
    </row>
    <row r="125" spans="1:4">
      <c r="A125" t="s">
        <v>145</v>
      </c>
      <c r="B125" s="3">
        <v>10454</v>
      </c>
      <c r="C125" s="1">
        <v>38.267099999999999</v>
      </c>
      <c r="D125">
        <v>24</v>
      </c>
    </row>
    <row r="126" spans="1:4">
      <c r="A126" t="s">
        <v>146</v>
      </c>
      <c r="B126" s="3">
        <v>10229</v>
      </c>
      <c r="C126" s="1">
        <v>31.365200000000002</v>
      </c>
      <c r="D126">
        <v>20</v>
      </c>
    </row>
    <row r="127" spans="1:4">
      <c r="A127" t="s">
        <v>147</v>
      </c>
      <c r="B127" s="3">
        <v>9956</v>
      </c>
      <c r="C127" s="1">
        <v>29.034500000000001</v>
      </c>
      <c r="D127">
        <v>20</v>
      </c>
    </row>
    <row r="128" spans="1:4">
      <c r="A128" t="s">
        <v>148</v>
      </c>
      <c r="B128" s="3">
        <v>9750</v>
      </c>
      <c r="C128" s="1">
        <v>28.607600000000001</v>
      </c>
      <c r="D128">
        <v>20</v>
      </c>
    </row>
    <row r="129" spans="1:4">
      <c r="A129" t="s">
        <v>149</v>
      </c>
      <c r="B129" s="3">
        <v>9490</v>
      </c>
      <c r="C129" s="1">
        <v>29.404299999999999</v>
      </c>
      <c r="D129">
        <v>21</v>
      </c>
    </row>
    <row r="130" spans="1:4">
      <c r="A130" t="s">
        <v>150</v>
      </c>
      <c r="B130" s="3">
        <v>9276</v>
      </c>
      <c r="C130" s="1">
        <v>29.375399999999999</v>
      </c>
      <c r="D130">
        <v>22</v>
      </c>
    </row>
    <row r="131" spans="1:4">
      <c r="A131" t="s">
        <v>151</v>
      </c>
      <c r="B131" s="3">
        <v>8753</v>
      </c>
      <c r="C131" s="1">
        <v>29.445599999999999</v>
      </c>
      <c r="D131">
        <v>22</v>
      </c>
    </row>
    <row r="132" spans="1:4">
      <c r="A132" t="s">
        <v>152</v>
      </c>
      <c r="B132" s="3">
        <v>8530</v>
      </c>
      <c r="C132" s="1">
        <v>25.785799999999998</v>
      </c>
      <c r="D132">
        <v>20</v>
      </c>
    </row>
    <row r="133" spans="1:4">
      <c r="A133" t="s">
        <v>153</v>
      </c>
      <c r="B133" s="3">
        <v>8525</v>
      </c>
      <c r="C133" s="1">
        <v>26.247499999999999</v>
      </c>
      <c r="D133">
        <v>21</v>
      </c>
    </row>
    <row r="134" spans="1:4">
      <c r="A134" t="s">
        <v>154</v>
      </c>
      <c r="B134" s="3">
        <v>8499</v>
      </c>
      <c r="C134" s="1">
        <v>28.040800000000001</v>
      </c>
      <c r="D134">
        <v>22</v>
      </c>
    </row>
    <row r="135" spans="1:4">
      <c r="A135" t="s">
        <v>155</v>
      </c>
      <c r="B135" s="3">
        <v>8158</v>
      </c>
      <c r="C135" s="1">
        <v>23.569400000000002</v>
      </c>
      <c r="D135">
        <v>19</v>
      </c>
    </row>
    <row r="136" spans="1:4">
      <c r="A136" t="s">
        <v>156</v>
      </c>
      <c r="B136" s="3">
        <v>7471</v>
      </c>
      <c r="C136" s="1">
        <v>24.162199999999999</v>
      </c>
      <c r="D136">
        <v>22</v>
      </c>
    </row>
    <row r="137" spans="1:4">
      <c r="A137" t="s">
        <v>157</v>
      </c>
      <c r="B137" s="3">
        <v>7426</v>
      </c>
      <c r="C137" s="1">
        <v>22.52</v>
      </c>
      <c r="D137">
        <v>20</v>
      </c>
    </row>
    <row r="138" spans="1:4">
      <c r="A138" t="s">
        <v>158</v>
      </c>
      <c r="B138" s="3">
        <v>7336</v>
      </c>
      <c r="C138" s="1">
        <v>22.0261</v>
      </c>
      <c r="D138">
        <v>20</v>
      </c>
    </row>
    <row r="139" spans="1:4">
      <c r="A139" t="s">
        <v>159</v>
      </c>
      <c r="B139" s="3">
        <v>7287</v>
      </c>
      <c r="C139" s="1">
        <v>20.648199999999999</v>
      </c>
      <c r="D139">
        <v>19</v>
      </c>
    </row>
    <row r="140" spans="1:4">
      <c r="A140" t="s">
        <v>160</v>
      </c>
      <c r="B140" s="3">
        <v>7193</v>
      </c>
      <c r="C140" s="1">
        <v>20.556699999999999</v>
      </c>
      <c r="D140">
        <v>19</v>
      </c>
    </row>
    <row r="141" spans="1:4">
      <c r="A141" t="s">
        <v>161</v>
      </c>
      <c r="B141" s="3">
        <v>6880</v>
      </c>
      <c r="C141" s="1">
        <v>19.139500000000002</v>
      </c>
      <c r="D141">
        <v>18</v>
      </c>
    </row>
    <row r="142" spans="1:4">
      <c r="A142" t="s">
        <v>162</v>
      </c>
      <c r="B142" s="3">
        <v>6221</v>
      </c>
      <c r="C142" s="1">
        <v>21.306000000000001</v>
      </c>
      <c r="D142">
        <v>23</v>
      </c>
    </row>
    <row r="143" spans="1:4">
      <c r="A143" t="s">
        <v>163</v>
      </c>
      <c r="B143" s="3">
        <v>6023</v>
      </c>
      <c r="C143" s="1">
        <v>18.905999999999999</v>
      </c>
      <c r="D143">
        <v>21</v>
      </c>
    </row>
    <row r="144" spans="1:4">
      <c r="A144" t="s">
        <v>164</v>
      </c>
      <c r="B144" s="3">
        <v>5947</v>
      </c>
      <c r="C144" s="1">
        <v>17.5137</v>
      </c>
      <c r="D144">
        <v>20</v>
      </c>
    </row>
    <row r="145" spans="1:4">
      <c r="A145" t="s">
        <v>165</v>
      </c>
      <c r="B145" s="3">
        <v>5814</v>
      </c>
      <c r="C145" s="1">
        <v>17.956099999999999</v>
      </c>
      <c r="D145">
        <v>20</v>
      </c>
    </row>
    <row r="146" spans="1:4">
      <c r="A146" t="s">
        <v>166</v>
      </c>
      <c r="B146" s="3">
        <v>5326</v>
      </c>
      <c r="C146" s="1">
        <v>17.880500000000001</v>
      </c>
      <c r="D146">
        <v>23</v>
      </c>
    </row>
    <row r="147" spans="1:4">
      <c r="A147" t="s">
        <v>167</v>
      </c>
      <c r="B147" s="3">
        <v>5165</v>
      </c>
      <c r="C147" s="1">
        <v>15.661199999999999</v>
      </c>
      <c r="D147">
        <v>21</v>
      </c>
    </row>
    <row r="148" spans="1:4">
      <c r="A148" t="s">
        <v>168</v>
      </c>
      <c r="B148" s="3">
        <v>5011</v>
      </c>
      <c r="C148" s="1">
        <v>15.6374</v>
      </c>
      <c r="D148">
        <v>21</v>
      </c>
    </row>
    <row r="149" spans="1:4">
      <c r="A149" t="s">
        <v>169</v>
      </c>
      <c r="B149" s="3">
        <v>4505</v>
      </c>
      <c r="C149" s="1">
        <v>14.358000000000001</v>
      </c>
      <c r="D149">
        <v>21</v>
      </c>
    </row>
    <row r="150" spans="1:4">
      <c r="A150" t="s">
        <v>170</v>
      </c>
      <c r="B150" s="3">
        <v>4483</v>
      </c>
      <c r="C150" s="1">
        <v>13.2159</v>
      </c>
      <c r="D150">
        <v>19</v>
      </c>
    </row>
    <row r="151" spans="1:4">
      <c r="A151" t="s">
        <v>171</v>
      </c>
      <c r="B151" s="3">
        <v>4192</v>
      </c>
      <c r="C151" s="1">
        <v>13.6158</v>
      </c>
      <c r="D151">
        <v>22</v>
      </c>
    </row>
    <row r="152" spans="1:4">
      <c r="A152" t="s">
        <v>172</v>
      </c>
      <c r="B152" s="3">
        <v>4076</v>
      </c>
      <c r="C152" s="1">
        <v>12.9994</v>
      </c>
      <c r="D152">
        <v>21</v>
      </c>
    </row>
    <row r="153" spans="1:4">
      <c r="A153" t="s">
        <v>173</v>
      </c>
      <c r="B153" s="3">
        <v>4049</v>
      </c>
      <c r="C153" s="1">
        <v>13.021699999999999</v>
      </c>
      <c r="D153">
        <v>22</v>
      </c>
    </row>
    <row r="154" spans="1:4">
      <c r="A154" t="s">
        <v>174</v>
      </c>
      <c r="B154" s="3">
        <v>3710</v>
      </c>
      <c r="C154" s="1">
        <v>11.4598</v>
      </c>
      <c r="D154">
        <v>21</v>
      </c>
    </row>
    <row r="155" spans="1:4">
      <c r="A155" t="s">
        <v>175</v>
      </c>
      <c r="B155" s="3">
        <v>2435</v>
      </c>
      <c r="C155" s="1">
        <v>6.9909999999999997</v>
      </c>
      <c r="D155">
        <v>19</v>
      </c>
    </row>
    <row r="156" spans="1:4">
      <c r="A156" t="s">
        <v>176</v>
      </c>
      <c r="B156" s="3">
        <v>2020</v>
      </c>
      <c r="C156" s="1">
        <v>5.7321999999999997</v>
      </c>
      <c r="D156">
        <v>19</v>
      </c>
    </row>
    <row r="157" spans="1:4">
      <c r="A157" t="s">
        <v>177</v>
      </c>
      <c r="B157" s="3">
        <v>1900</v>
      </c>
      <c r="C157" s="1">
        <v>5.7198000000000002</v>
      </c>
      <c r="D157">
        <v>20</v>
      </c>
    </row>
    <row r="158" spans="1:4">
      <c r="A158" t="s">
        <v>178</v>
      </c>
      <c r="B158" s="3">
        <v>1611</v>
      </c>
      <c r="C158" s="1">
        <v>4.9739000000000004</v>
      </c>
      <c r="D158">
        <v>21</v>
      </c>
    </row>
    <row r="159" spans="1:4">
      <c r="A159" t="s">
        <v>179</v>
      </c>
      <c r="B159" s="3">
        <v>1592</v>
      </c>
      <c r="C159" s="1">
        <v>4.7699999999999996</v>
      </c>
      <c r="D159">
        <v>21</v>
      </c>
    </row>
    <row r="160" spans="1:4">
      <c r="A160" t="s">
        <v>180</v>
      </c>
      <c r="B160" s="3">
        <v>1547</v>
      </c>
      <c r="C160" s="1">
        <v>4.5213000000000001</v>
      </c>
      <c r="D160">
        <v>20</v>
      </c>
    </row>
    <row r="161" spans="1:4">
      <c r="A161" t="s">
        <v>181</v>
      </c>
      <c r="B161" s="3">
        <v>1529</v>
      </c>
      <c r="C161" s="1">
        <v>4.1546000000000003</v>
      </c>
      <c r="D161">
        <v>18</v>
      </c>
    </row>
    <row r="162" spans="1:4">
      <c r="A162" t="s">
        <v>182</v>
      </c>
      <c r="B162" s="3">
        <v>1512</v>
      </c>
      <c r="C162" s="1">
        <v>4.6478000000000002</v>
      </c>
      <c r="D162">
        <v>20</v>
      </c>
    </row>
    <row r="163" spans="1:4">
      <c r="A163" t="s">
        <v>183</v>
      </c>
      <c r="B163" s="3">
        <v>1474</v>
      </c>
      <c r="C163" s="1">
        <v>4.5213999999999999</v>
      </c>
      <c r="D163">
        <v>20</v>
      </c>
    </row>
    <row r="164" spans="1:4">
      <c r="A164" t="s">
        <v>184</v>
      </c>
      <c r="B164" s="3">
        <v>1450</v>
      </c>
      <c r="C164" s="1">
        <v>4.3095999999999997</v>
      </c>
      <c r="D164">
        <v>20</v>
      </c>
    </row>
    <row r="165" spans="1:4">
      <c r="A165" t="s">
        <v>185</v>
      </c>
      <c r="B165" s="3">
        <v>1305</v>
      </c>
      <c r="C165" s="1">
        <v>3.8151999999999999</v>
      </c>
      <c r="D165">
        <v>19</v>
      </c>
    </row>
    <row r="166" spans="1:4">
      <c r="A166" t="s">
        <v>186</v>
      </c>
      <c r="B166" s="3">
        <v>1225</v>
      </c>
      <c r="C166" s="1">
        <v>3.6783000000000001</v>
      </c>
      <c r="D166">
        <v>20</v>
      </c>
    </row>
    <row r="167" spans="1:4">
      <c r="A167" t="s">
        <v>187</v>
      </c>
      <c r="B167" s="3">
        <v>1180</v>
      </c>
      <c r="C167" s="1">
        <v>4.2335000000000003</v>
      </c>
      <c r="D167">
        <v>24</v>
      </c>
    </row>
    <row r="168" spans="1:4">
      <c r="A168" t="s">
        <v>188</v>
      </c>
      <c r="B168" s="3">
        <v>1109</v>
      </c>
      <c r="C168" s="1">
        <v>3.3771</v>
      </c>
      <c r="D168">
        <v>20</v>
      </c>
    </row>
    <row r="169" spans="1:4">
      <c r="A169" t="s">
        <v>189</v>
      </c>
      <c r="B169" s="3">
        <v>1062</v>
      </c>
      <c r="C169" s="1">
        <v>3.4868999999999999</v>
      </c>
      <c r="D169">
        <v>22</v>
      </c>
    </row>
    <row r="170" spans="1:4">
      <c r="A170" t="s">
        <v>190</v>
      </c>
      <c r="B170" s="3">
        <v>1028</v>
      </c>
      <c r="C170" s="1">
        <v>2.8193000000000001</v>
      </c>
      <c r="D170">
        <v>18</v>
      </c>
    </row>
    <row r="171" spans="1:4">
      <c r="A171" t="s">
        <v>191</v>
      </c>
      <c r="B171" s="3">
        <v>892</v>
      </c>
      <c r="C171" s="1">
        <v>2.5678000000000001</v>
      </c>
      <c r="D171">
        <v>19</v>
      </c>
    </row>
    <row r="172" spans="1:4">
      <c r="A172" t="s">
        <v>192</v>
      </c>
      <c r="B172" s="3">
        <v>836</v>
      </c>
      <c r="C172" s="1">
        <v>2.4540000000000002</v>
      </c>
      <c r="D172">
        <v>20</v>
      </c>
    </row>
    <row r="173" spans="1:4">
      <c r="A173" t="s">
        <v>193</v>
      </c>
      <c r="B173" s="3">
        <v>833</v>
      </c>
      <c r="C173" s="1">
        <v>2.7254999999999998</v>
      </c>
      <c r="D173">
        <v>22</v>
      </c>
    </row>
    <row r="174" spans="1:4">
      <c r="A174" t="s">
        <v>194</v>
      </c>
      <c r="B174" s="3">
        <v>721</v>
      </c>
      <c r="C174" s="1">
        <v>5.0922000000000001</v>
      </c>
      <c r="D174">
        <v>49</v>
      </c>
    </row>
    <row r="175" spans="1:4">
      <c r="A175" t="s">
        <v>195</v>
      </c>
      <c r="B175" s="3">
        <v>619</v>
      </c>
      <c r="C175" s="1">
        <v>1.7713000000000001</v>
      </c>
      <c r="D175">
        <v>19</v>
      </c>
    </row>
    <row r="176" spans="1:4">
      <c r="A176" t="s">
        <v>196</v>
      </c>
      <c r="B176" s="3">
        <v>550</v>
      </c>
      <c r="C176" s="1">
        <v>1.6375999999999999</v>
      </c>
      <c r="D176">
        <v>20</v>
      </c>
    </row>
    <row r="177" spans="1:4">
      <c r="A177" t="s">
        <v>197</v>
      </c>
      <c r="B177" s="3">
        <v>492</v>
      </c>
      <c r="C177" s="1">
        <v>1.3693</v>
      </c>
      <c r="D177">
        <v>17</v>
      </c>
    </row>
    <row r="178" spans="1:4">
      <c r="A178" t="s">
        <v>198</v>
      </c>
      <c r="B178" s="3">
        <v>485</v>
      </c>
      <c r="C178" s="1">
        <v>1.4730000000000001</v>
      </c>
      <c r="D178">
        <v>20</v>
      </c>
    </row>
    <row r="179" spans="1:4">
      <c r="A179" t="s">
        <v>199</v>
      </c>
      <c r="B179" s="3">
        <v>334</v>
      </c>
      <c r="C179" s="1">
        <v>1.1519999999999999</v>
      </c>
      <c r="D179">
        <v>22</v>
      </c>
    </row>
    <row r="180" spans="1:4">
      <c r="A180" t="s">
        <v>200</v>
      </c>
      <c r="B180" s="3">
        <v>322</v>
      </c>
      <c r="C180" s="1">
        <v>1.1451</v>
      </c>
      <c r="D180">
        <v>23</v>
      </c>
    </row>
    <row r="181" spans="1:4">
      <c r="A181" t="s">
        <v>201</v>
      </c>
      <c r="B181" s="3">
        <v>321</v>
      </c>
      <c r="C181" s="1">
        <v>1.7876000000000001</v>
      </c>
      <c r="D181">
        <v>39</v>
      </c>
    </row>
    <row r="182" spans="1:4">
      <c r="A182" t="s">
        <v>202</v>
      </c>
      <c r="B182" s="3">
        <v>314</v>
      </c>
      <c r="C182" s="1">
        <v>0.93020000000000003</v>
      </c>
      <c r="D182">
        <v>19</v>
      </c>
    </row>
    <row r="183" spans="1:4">
      <c r="A183" t="s">
        <v>203</v>
      </c>
      <c r="B183" s="3">
        <v>280</v>
      </c>
      <c r="C183" s="1">
        <v>0.91559999999999997</v>
      </c>
      <c r="D183">
        <v>22</v>
      </c>
    </row>
    <row r="184" spans="1:4">
      <c r="A184" t="s">
        <v>204</v>
      </c>
      <c r="B184" s="3">
        <v>250</v>
      </c>
      <c r="C184" s="1">
        <v>0.79200000000000004</v>
      </c>
      <c r="D184">
        <v>20</v>
      </c>
    </row>
    <row r="185" spans="1:4">
      <c r="A185" t="s">
        <v>205</v>
      </c>
      <c r="B185" s="3">
        <v>250</v>
      </c>
      <c r="C185" s="1">
        <v>1.4722999999999999</v>
      </c>
      <c r="D185">
        <v>41</v>
      </c>
    </row>
    <row r="186" spans="1:4">
      <c r="A186" t="s">
        <v>206</v>
      </c>
      <c r="B186" s="3">
        <v>235</v>
      </c>
      <c r="C186" s="1">
        <v>0.73070000000000002</v>
      </c>
      <c r="D186">
        <v>22</v>
      </c>
    </row>
    <row r="187" spans="1:4">
      <c r="A187" t="s">
        <v>207</v>
      </c>
      <c r="B187" s="3">
        <v>214</v>
      </c>
      <c r="C187" s="1">
        <v>0.6895</v>
      </c>
      <c r="D187">
        <v>20</v>
      </c>
    </row>
    <row r="188" spans="1:4">
      <c r="A188" t="s">
        <v>208</v>
      </c>
      <c r="B188" s="3">
        <v>185</v>
      </c>
      <c r="C188" s="1">
        <v>0.52629999999999999</v>
      </c>
      <c r="D188">
        <v>18</v>
      </c>
    </row>
    <row r="189" spans="1:4">
      <c r="A189" t="s">
        <v>209</v>
      </c>
      <c r="B189" s="3">
        <v>148</v>
      </c>
      <c r="C189" s="1">
        <v>0.40760000000000002</v>
      </c>
      <c r="D189">
        <v>20</v>
      </c>
    </row>
    <row r="190" spans="1:4">
      <c r="A190" t="s">
        <v>210</v>
      </c>
      <c r="B190" s="3">
        <v>128</v>
      </c>
      <c r="C190" s="1">
        <v>0.40289999999999998</v>
      </c>
      <c r="D190">
        <v>20</v>
      </c>
    </row>
    <row r="191" spans="1:4">
      <c r="A191" t="s">
        <v>211</v>
      </c>
      <c r="B191" s="3">
        <v>126</v>
      </c>
      <c r="C191" s="1">
        <v>0.42209999999999998</v>
      </c>
      <c r="D191">
        <v>22</v>
      </c>
    </row>
    <row r="192" spans="1:4">
      <c r="A192" t="s">
        <v>212</v>
      </c>
      <c r="B192" s="3">
        <v>124</v>
      </c>
      <c r="C192" s="1">
        <v>0.36799999999999999</v>
      </c>
      <c r="D192">
        <v>18</v>
      </c>
    </row>
    <row r="193" spans="1:4">
      <c r="A193" t="s">
        <v>213</v>
      </c>
      <c r="B193" s="3">
        <v>116</v>
      </c>
      <c r="C193" s="1">
        <v>0.51649999999999996</v>
      </c>
      <c r="D193">
        <v>29</v>
      </c>
    </row>
    <row r="194" spans="1:4">
      <c r="A194" t="s">
        <v>214</v>
      </c>
      <c r="B194" s="3">
        <v>68</v>
      </c>
      <c r="C194" s="1">
        <v>0.23619999999999999</v>
      </c>
      <c r="D194">
        <v>21</v>
      </c>
    </row>
    <row r="195" spans="1:4">
      <c r="A195" t="s">
        <v>215</v>
      </c>
      <c r="B195" s="3">
        <v>55</v>
      </c>
      <c r="C195" s="1">
        <v>0.17680000000000001</v>
      </c>
      <c r="D195">
        <v>19</v>
      </c>
    </row>
    <row r="196" spans="1:4">
      <c r="A196" t="s">
        <v>216</v>
      </c>
      <c r="B196" s="3">
        <v>53</v>
      </c>
      <c r="C196" s="1">
        <v>0.17480000000000001</v>
      </c>
      <c r="D196">
        <v>19</v>
      </c>
    </row>
    <row r="197" spans="1:4">
      <c r="A197" t="s">
        <v>217</v>
      </c>
      <c r="B197" s="3">
        <v>38</v>
      </c>
      <c r="C197" s="1">
        <v>8.7800000000000003E-2</v>
      </c>
      <c r="D197">
        <v>21</v>
      </c>
    </row>
    <row r="198" spans="1:4">
      <c r="A198" t="s">
        <v>218</v>
      </c>
      <c r="B198" s="3">
        <v>20</v>
      </c>
      <c r="C198" s="1">
        <v>6.5500000000000003E-2</v>
      </c>
      <c r="D198">
        <v>19</v>
      </c>
    </row>
    <row r="199" spans="1:4">
      <c r="A199" t="s">
        <v>219</v>
      </c>
      <c r="B199" s="3">
        <v>20</v>
      </c>
      <c r="C199" s="1">
        <v>5.7299999999999997E-2</v>
      </c>
      <c r="D199">
        <v>20</v>
      </c>
    </row>
    <row r="200" spans="1:4">
      <c r="A200" t="s">
        <v>220</v>
      </c>
      <c r="B200" s="3">
        <v>17</v>
      </c>
      <c r="C200" s="1">
        <v>4.7899999999999998E-2</v>
      </c>
      <c r="D200">
        <v>17</v>
      </c>
    </row>
    <row r="201" spans="1:4">
      <c r="A201" t="s">
        <v>221</v>
      </c>
      <c r="B201" s="3">
        <v>15</v>
      </c>
      <c r="C201" s="1">
        <v>4.8099999999999997E-2</v>
      </c>
      <c r="D201">
        <v>15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BB39-BBDF-4D9C-AB62-B2F3AD48241D}">
  <dimension ref="A1:F16"/>
  <sheetViews>
    <sheetView workbookViewId="0">
      <selection activeCell="E19" sqref="E19"/>
    </sheetView>
  </sheetViews>
  <sheetFormatPr defaultRowHeight="15"/>
  <cols>
    <col min="1" max="1" width="24.5703125" bestFit="1" customWidth="1"/>
    <col min="2" max="2" width="15.42578125" bestFit="1" customWidth="1"/>
    <col min="3" max="3" width="22.28515625" bestFit="1" customWidth="1"/>
    <col min="4" max="4" width="18.42578125" bestFit="1" customWidth="1"/>
    <col min="5" max="5" width="26.140625" bestFit="1" customWidth="1"/>
    <col min="6" max="6" width="30.28515625" bestFit="1" customWidth="1"/>
    <col min="7" max="7" width="13.7109375" customWidth="1"/>
  </cols>
  <sheetData>
    <row r="1" spans="1:6">
      <c r="A1" t="s">
        <v>0</v>
      </c>
      <c r="B1" t="s">
        <v>1</v>
      </c>
      <c r="C1" t="s">
        <v>2</v>
      </c>
      <c r="D1" t="s">
        <v>20</v>
      </c>
      <c r="E1" t="s">
        <v>3</v>
      </c>
      <c r="F1" t="s">
        <v>4</v>
      </c>
    </row>
    <row r="2" spans="1:6">
      <c r="A2" t="s">
        <v>5</v>
      </c>
      <c r="B2" s="3">
        <v>33651902</v>
      </c>
      <c r="C2" s="1">
        <v>94930.495299999995</v>
      </c>
      <c r="D2">
        <v>19</v>
      </c>
      <c r="E2" s="3"/>
      <c r="F2" s="2"/>
    </row>
    <row r="3" spans="1:6">
      <c r="A3" t="s">
        <v>6</v>
      </c>
      <c r="B3" s="3">
        <v>1610087</v>
      </c>
      <c r="C3" s="1">
        <v>4661.9002</v>
      </c>
      <c r="D3">
        <v>20</v>
      </c>
      <c r="E3" s="3">
        <v>334653</v>
      </c>
      <c r="F3" s="2">
        <v>7.7399999999999997E-2</v>
      </c>
    </row>
    <row r="4" spans="1:6">
      <c r="A4" t="s">
        <v>7</v>
      </c>
      <c r="B4" s="3">
        <v>280253</v>
      </c>
      <c r="C4" s="1">
        <v>825.49130000000002</v>
      </c>
      <c r="D4">
        <v>21</v>
      </c>
      <c r="E4" s="3">
        <v>287959</v>
      </c>
      <c r="F4" s="2">
        <v>3.7999999999999999E-2</v>
      </c>
    </row>
    <row r="5" spans="1:6">
      <c r="A5" t="s">
        <v>8</v>
      </c>
      <c r="B5" s="3">
        <v>81182</v>
      </c>
      <c r="C5" s="1">
        <v>264.66649999999998</v>
      </c>
      <c r="D5">
        <v>22</v>
      </c>
      <c r="E5" s="3"/>
      <c r="F5" s="2"/>
    </row>
    <row r="6" spans="1:6">
      <c r="A6" t="s">
        <v>9</v>
      </c>
      <c r="B6" s="3">
        <v>49893</v>
      </c>
      <c r="C6" s="1">
        <v>152.36850000000001</v>
      </c>
      <c r="D6">
        <v>20</v>
      </c>
      <c r="E6" s="3">
        <v>154272</v>
      </c>
      <c r="F6" s="2">
        <v>6.4600000000000005E-2</v>
      </c>
    </row>
    <row r="7" spans="1:6">
      <c r="A7" t="s">
        <v>10</v>
      </c>
      <c r="B7" s="3">
        <v>36955</v>
      </c>
      <c r="C7" s="1">
        <v>97.6447</v>
      </c>
      <c r="D7">
        <v>19</v>
      </c>
      <c r="E7" s="3"/>
      <c r="F7" s="2"/>
    </row>
    <row r="8" spans="1:6">
      <c r="A8" t="s">
        <v>11</v>
      </c>
      <c r="B8" s="3">
        <v>14443</v>
      </c>
      <c r="C8" s="1">
        <v>62.531399999999998</v>
      </c>
      <c r="D8">
        <v>21</v>
      </c>
      <c r="E8" s="3"/>
      <c r="F8" s="2"/>
    </row>
    <row r="9" spans="1:6">
      <c r="A9" t="s">
        <v>12</v>
      </c>
      <c r="B9" s="3">
        <v>9753</v>
      </c>
      <c r="C9" s="1">
        <v>29.301500000000001</v>
      </c>
      <c r="D9">
        <v>24</v>
      </c>
      <c r="E9" s="3"/>
      <c r="F9" s="2"/>
    </row>
    <row r="10" spans="1:6">
      <c r="A10" t="s">
        <v>13</v>
      </c>
      <c r="B10" s="3">
        <v>8106</v>
      </c>
      <c r="C10" s="1">
        <v>35.932499999999997</v>
      </c>
      <c r="D10">
        <v>16</v>
      </c>
      <c r="E10" s="3">
        <v>157540</v>
      </c>
      <c r="F10" s="2">
        <v>2.3E-2</v>
      </c>
    </row>
    <row r="11" spans="1:6">
      <c r="A11" t="s">
        <v>14</v>
      </c>
      <c r="B11" s="3">
        <v>4685</v>
      </c>
      <c r="C11" s="1">
        <v>14.4793</v>
      </c>
      <c r="D11">
        <v>21</v>
      </c>
      <c r="E11" s="3"/>
      <c r="F11" s="2"/>
    </row>
    <row r="12" spans="1:6">
      <c r="A12" t="s">
        <v>15</v>
      </c>
      <c r="B12" s="3">
        <v>870</v>
      </c>
      <c r="C12" s="1">
        <v>6.7804000000000002</v>
      </c>
      <c r="D12">
        <v>28</v>
      </c>
      <c r="E12" s="3"/>
      <c r="F12" s="2"/>
    </row>
    <row r="13" spans="1:6">
      <c r="A13" t="s">
        <v>16</v>
      </c>
      <c r="B13" s="3">
        <v>623</v>
      </c>
      <c r="C13" s="1">
        <v>2.0209999999999999</v>
      </c>
      <c r="D13">
        <v>24</v>
      </c>
      <c r="E13" s="3"/>
      <c r="F13" s="2"/>
    </row>
    <row r="14" spans="1:6">
      <c r="A14" t="s">
        <v>17</v>
      </c>
      <c r="B14" s="3">
        <v>532</v>
      </c>
      <c r="C14" s="1">
        <v>1.7809999999999999</v>
      </c>
      <c r="D14">
        <v>20</v>
      </c>
      <c r="E14" s="3">
        <v>7265</v>
      </c>
      <c r="F14" s="2">
        <v>1.5299999999999999E-2</v>
      </c>
    </row>
    <row r="15" spans="1:6">
      <c r="A15" t="s">
        <v>18</v>
      </c>
      <c r="B15" s="3">
        <v>191</v>
      </c>
      <c r="C15" s="1">
        <v>0.98660000000000003</v>
      </c>
      <c r="D15">
        <v>39</v>
      </c>
      <c r="E15" s="3"/>
      <c r="F15" s="2"/>
    </row>
    <row r="16" spans="1:6">
      <c r="A16" t="s">
        <v>19</v>
      </c>
      <c r="B16" s="3">
        <v>77</v>
      </c>
      <c r="C16" s="1">
        <v>0.16400000000000001</v>
      </c>
      <c r="D16">
        <v>20</v>
      </c>
      <c r="E16" s="3"/>
      <c r="F16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FD846F-EB05-4EBA-9D9C-9E34C9949C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Bulgular</vt:lpstr>
      <vt:lpstr>Dashboard</vt:lpstr>
      <vt:lpstr>Analiz</vt:lpstr>
      <vt:lpstr>İçerik</vt:lpstr>
      <vt:lpstr>Kanal_Günlük</vt:lpstr>
      <vt:lpstr>Turler</vt:lpstr>
      <vt:lpstr>Konum_Verileri</vt:lpstr>
      <vt:lpstr>Trafik_Kaynagi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Baki Yağız DİNDAR</dc:creator>
  <cp:lastModifiedBy>Baki Yağız DİNDAR</cp:lastModifiedBy>
  <dcterms:created xsi:type="dcterms:W3CDTF">2026-09-29T13:10:54Z</dcterms:created>
  <dcterms:modified xsi:type="dcterms:W3CDTF">2026-09-30T16:46:53Z</dcterms:modified>
</cp:coreProperties>
</file>